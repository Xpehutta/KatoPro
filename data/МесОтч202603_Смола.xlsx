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omp\Desktop\"/>
    </mc:Choice>
  </mc:AlternateContent>
  <bookViews>
    <workbookView xWindow="0" yWindow="0" windowWidth="17985" windowHeight="6120" firstSheet="2" activeTab="6"/>
  </bookViews>
  <sheets>
    <sheet name="Сентябрь25" sheetId="11" state="hidden" r:id="rId1"/>
    <sheet name="Октябрь25" sheetId="12" state="hidden" r:id="rId2"/>
    <sheet name="Ноябрь25" sheetId="13" r:id="rId3"/>
    <sheet name="Декабрь25" sheetId="14" r:id="rId4"/>
    <sheet name="Январь26" sheetId="15" r:id="rId5"/>
    <sheet name="Февраль26" sheetId="16" r:id="rId6"/>
    <sheet name="Март26" sheetId="17" r:id="rId7"/>
  </sheets>
  <calcPr calcId="152511" refMode="R1C1"/>
</workbook>
</file>

<file path=xl/calcChain.xml><?xml version="1.0" encoding="utf-8"?>
<calcChain xmlns="http://schemas.openxmlformats.org/spreadsheetml/2006/main">
  <c r="B10" i="17" l="1"/>
  <c r="A3" i="17"/>
  <c r="G45" i="17"/>
  <c r="F45" i="17"/>
  <c r="E45" i="17"/>
  <c r="E3" i="17" s="1"/>
  <c r="C45" i="17"/>
  <c r="B45" i="17"/>
  <c r="D44" i="17"/>
  <c r="H44" i="17" s="1"/>
  <c r="D43" i="17"/>
  <c r="H43" i="17" s="1"/>
  <c r="H42" i="17"/>
  <c r="D42" i="17"/>
  <c r="D41" i="17"/>
  <c r="H41" i="17" s="1"/>
  <c r="D40" i="17"/>
  <c r="H40" i="17" s="1"/>
  <c r="D39" i="17"/>
  <c r="H39" i="17" s="1"/>
  <c r="D38" i="17"/>
  <c r="H38" i="17" s="1"/>
  <c r="H37" i="17"/>
  <c r="D37" i="17"/>
  <c r="D36" i="17"/>
  <c r="H36" i="17" s="1"/>
  <c r="D35" i="17"/>
  <c r="H35" i="17" s="1"/>
  <c r="H34" i="17"/>
  <c r="D34" i="17"/>
  <c r="D33" i="17"/>
  <c r="H33" i="17" s="1"/>
  <c r="D32" i="17"/>
  <c r="H32" i="17" s="1"/>
  <c r="D31" i="17"/>
  <c r="H31" i="17" s="1"/>
  <c r="D30" i="17"/>
  <c r="H30" i="17" s="1"/>
  <c r="D29" i="17"/>
  <c r="H29" i="17" s="1"/>
  <c r="D28" i="17"/>
  <c r="H28" i="17" s="1"/>
  <c r="D27" i="17"/>
  <c r="H27" i="17" s="1"/>
  <c r="D26" i="17"/>
  <c r="H26" i="17" s="1"/>
  <c r="D25" i="17"/>
  <c r="H25" i="17" s="1"/>
  <c r="D24" i="17"/>
  <c r="H24" i="17" s="1"/>
  <c r="D23" i="17"/>
  <c r="H23" i="17" s="1"/>
  <c r="D22" i="17"/>
  <c r="H22" i="17" s="1"/>
  <c r="H21" i="17"/>
  <c r="D21" i="17"/>
  <c r="D20" i="17"/>
  <c r="H20" i="17" s="1"/>
  <c r="D19" i="17"/>
  <c r="H19" i="17" s="1"/>
  <c r="H18" i="17"/>
  <c r="D18" i="17"/>
  <c r="D17" i="17"/>
  <c r="H17" i="17" s="1"/>
  <c r="D16" i="17"/>
  <c r="H16" i="17" s="1"/>
  <c r="D15" i="17"/>
  <c r="H15" i="17" s="1"/>
  <c r="D14" i="17"/>
  <c r="H14" i="17" s="1"/>
  <c r="I13" i="17"/>
  <c r="I14" i="17" s="1"/>
  <c r="B8" i="17"/>
  <c r="D47" i="17" s="1"/>
  <c r="G3" i="17"/>
  <c r="G42" i="16"/>
  <c r="G3" i="16" s="1"/>
  <c r="F42" i="16"/>
  <c r="E42" i="16"/>
  <c r="E3" i="16" s="1"/>
  <c r="C42" i="16"/>
  <c r="B42" i="16"/>
  <c r="D41" i="16"/>
  <c r="H41" i="16" s="1"/>
  <c r="D40" i="16"/>
  <c r="H40" i="16" s="1"/>
  <c r="D39" i="16"/>
  <c r="H39" i="16" s="1"/>
  <c r="D38" i="16"/>
  <c r="H38" i="16" s="1"/>
  <c r="D37" i="16"/>
  <c r="H37" i="16" s="1"/>
  <c r="D36" i="16"/>
  <c r="H36" i="16" s="1"/>
  <c r="H35" i="16"/>
  <c r="D35" i="16"/>
  <c r="H34" i="16"/>
  <c r="D34" i="16"/>
  <c r="D33" i="16"/>
  <c r="H33" i="16" s="1"/>
  <c r="D32" i="16"/>
  <c r="H32" i="16" s="1"/>
  <c r="D31" i="16"/>
  <c r="H31" i="16" s="1"/>
  <c r="D30" i="16"/>
  <c r="H30" i="16" s="1"/>
  <c r="D29" i="16"/>
  <c r="H29" i="16" s="1"/>
  <c r="H28" i="16"/>
  <c r="D28" i="16"/>
  <c r="D27" i="16"/>
  <c r="H27" i="16" s="1"/>
  <c r="D26" i="16"/>
  <c r="H26" i="16" s="1"/>
  <c r="D25" i="16"/>
  <c r="H25" i="16" s="1"/>
  <c r="D24" i="16"/>
  <c r="H24" i="16" s="1"/>
  <c r="D23" i="16"/>
  <c r="H23" i="16" s="1"/>
  <c r="D22" i="16"/>
  <c r="H22" i="16" s="1"/>
  <c r="D21" i="16"/>
  <c r="H21" i="16" s="1"/>
  <c r="D20" i="16"/>
  <c r="H20" i="16" s="1"/>
  <c r="D19" i="16"/>
  <c r="H19" i="16" s="1"/>
  <c r="D18" i="16"/>
  <c r="H18" i="16" s="1"/>
  <c r="D17" i="16"/>
  <c r="H17" i="16" s="1"/>
  <c r="D16" i="16"/>
  <c r="H16" i="16" s="1"/>
  <c r="D15" i="16"/>
  <c r="H15" i="16" s="1"/>
  <c r="D14" i="16"/>
  <c r="H14" i="16" s="1"/>
  <c r="B8" i="16"/>
  <c r="D44" i="16" s="1"/>
  <c r="B8" i="15"/>
  <c r="D47" i="15" s="1"/>
  <c r="D14" i="15"/>
  <c r="H14" i="15" s="1"/>
  <c r="D15" i="15"/>
  <c r="H15" i="15" s="1"/>
  <c r="D16" i="15"/>
  <c r="H16" i="15" s="1"/>
  <c r="D17" i="15"/>
  <c r="H17" i="15" s="1"/>
  <c r="D18" i="15"/>
  <c r="H18" i="15" s="1"/>
  <c r="D19" i="15"/>
  <c r="H19" i="15" s="1"/>
  <c r="D20" i="15"/>
  <c r="H20" i="15" s="1"/>
  <c r="D21" i="15"/>
  <c r="H21" i="15" s="1"/>
  <c r="D22" i="15"/>
  <c r="H22" i="15" s="1"/>
  <c r="D23" i="15"/>
  <c r="H23" i="15"/>
  <c r="D24" i="15"/>
  <c r="H24" i="15" s="1"/>
  <c r="D25" i="15"/>
  <c r="H25" i="15" s="1"/>
  <c r="D26" i="15"/>
  <c r="H26" i="15" s="1"/>
  <c r="D27" i="15"/>
  <c r="H27" i="15" s="1"/>
  <c r="D28" i="15"/>
  <c r="H28" i="15" s="1"/>
  <c r="D29" i="15"/>
  <c r="H29" i="15" s="1"/>
  <c r="D30" i="15"/>
  <c r="H30" i="15" s="1"/>
  <c r="D31" i="15"/>
  <c r="H31" i="15" s="1"/>
  <c r="D32" i="15"/>
  <c r="H32" i="15" s="1"/>
  <c r="D33" i="15"/>
  <c r="H33" i="15" s="1"/>
  <c r="D34" i="15"/>
  <c r="H34" i="15" s="1"/>
  <c r="D35" i="15"/>
  <c r="H35" i="15" s="1"/>
  <c r="D36" i="15"/>
  <c r="H36" i="15" s="1"/>
  <c r="D37" i="15"/>
  <c r="H37" i="15" s="1"/>
  <c r="D38" i="15"/>
  <c r="H38" i="15" s="1"/>
  <c r="D39" i="15"/>
  <c r="H39" i="15" s="1"/>
  <c r="D40" i="15"/>
  <c r="H40" i="15" s="1"/>
  <c r="D41" i="15"/>
  <c r="H41" i="15" s="1"/>
  <c r="D42" i="15"/>
  <c r="H42" i="15" s="1"/>
  <c r="D43" i="15"/>
  <c r="H43" i="15" s="1"/>
  <c r="D44" i="15"/>
  <c r="H44" i="15" s="1"/>
  <c r="B45" i="15"/>
  <c r="C45" i="15"/>
  <c r="E45" i="15"/>
  <c r="E3" i="15" s="1"/>
  <c r="F45" i="15"/>
  <c r="G45" i="15"/>
  <c r="G3" i="15" s="1"/>
  <c r="G45" i="14"/>
  <c r="G3" i="14" s="1"/>
  <c r="F45" i="14"/>
  <c r="E45" i="14"/>
  <c r="E3" i="14" s="1"/>
  <c r="C45" i="14"/>
  <c r="B45" i="14"/>
  <c r="D44" i="14"/>
  <c r="H44" i="14" s="1"/>
  <c r="D43" i="14"/>
  <c r="H43" i="14" s="1"/>
  <c r="D42" i="14"/>
  <c r="H42" i="14" s="1"/>
  <c r="D41" i="14"/>
  <c r="H41" i="14" s="1"/>
  <c r="D40" i="14"/>
  <c r="H40" i="14" s="1"/>
  <c r="D39" i="14"/>
  <c r="H39" i="14" s="1"/>
  <c r="D38" i="14"/>
  <c r="H38" i="14" s="1"/>
  <c r="D37" i="14"/>
  <c r="H37" i="14" s="1"/>
  <c r="D36" i="14"/>
  <c r="H36" i="14" s="1"/>
  <c r="D35" i="14"/>
  <c r="H35" i="14" s="1"/>
  <c r="D34" i="14"/>
  <c r="H34" i="14" s="1"/>
  <c r="D33" i="14"/>
  <c r="H33" i="14" s="1"/>
  <c r="D32" i="14"/>
  <c r="H32" i="14" s="1"/>
  <c r="D31" i="14"/>
  <c r="H31" i="14" s="1"/>
  <c r="D30" i="14"/>
  <c r="H30" i="14" s="1"/>
  <c r="D29" i="14"/>
  <c r="H29" i="14" s="1"/>
  <c r="D28" i="14"/>
  <c r="H28" i="14" s="1"/>
  <c r="D27" i="14"/>
  <c r="H27" i="14" s="1"/>
  <c r="D26" i="14"/>
  <c r="H26" i="14" s="1"/>
  <c r="D25" i="14"/>
  <c r="H25" i="14" s="1"/>
  <c r="D24" i="14"/>
  <c r="H24" i="14" s="1"/>
  <c r="D23" i="14"/>
  <c r="H23" i="14" s="1"/>
  <c r="D22" i="14"/>
  <c r="H22" i="14" s="1"/>
  <c r="D21" i="14"/>
  <c r="H21" i="14" s="1"/>
  <c r="D20" i="14"/>
  <c r="H20" i="14" s="1"/>
  <c r="D19" i="14"/>
  <c r="H19" i="14" s="1"/>
  <c r="D18" i="14"/>
  <c r="H18" i="14" s="1"/>
  <c r="D17" i="14"/>
  <c r="H17" i="14" s="1"/>
  <c r="D16" i="14"/>
  <c r="H16" i="14" s="1"/>
  <c r="D15" i="14"/>
  <c r="H15" i="14" s="1"/>
  <c r="D14" i="14"/>
  <c r="H14" i="14" s="1"/>
  <c r="B8" i="14"/>
  <c r="D47" i="14" s="1"/>
  <c r="G44" i="13"/>
  <c r="F44" i="13"/>
  <c r="E44" i="13"/>
  <c r="E3" i="13" s="1"/>
  <c r="C44" i="13"/>
  <c r="B44" i="13"/>
  <c r="D43" i="13"/>
  <c r="H43" i="13" s="1"/>
  <c r="D42" i="13"/>
  <c r="H42" i="13" s="1"/>
  <c r="D41" i="13"/>
  <c r="H41" i="13" s="1"/>
  <c r="D40" i="13"/>
  <c r="H40" i="13" s="1"/>
  <c r="D39" i="13"/>
  <c r="H39" i="13" s="1"/>
  <c r="D38" i="13"/>
  <c r="H38" i="13" s="1"/>
  <c r="D37" i="13"/>
  <c r="H37" i="13" s="1"/>
  <c r="D36" i="13"/>
  <c r="H36" i="13" s="1"/>
  <c r="D35" i="13"/>
  <c r="H35" i="13" s="1"/>
  <c r="D34" i="13"/>
  <c r="H34" i="13" s="1"/>
  <c r="D33" i="13"/>
  <c r="H33" i="13" s="1"/>
  <c r="D32" i="13"/>
  <c r="H32" i="13" s="1"/>
  <c r="D31" i="13"/>
  <c r="H31" i="13" s="1"/>
  <c r="D30" i="13"/>
  <c r="H30" i="13" s="1"/>
  <c r="D29" i="13"/>
  <c r="H29" i="13" s="1"/>
  <c r="D28" i="13"/>
  <c r="H28" i="13" s="1"/>
  <c r="D27" i="13"/>
  <c r="H27" i="13" s="1"/>
  <c r="D26" i="13"/>
  <c r="H26" i="13" s="1"/>
  <c r="D25" i="13"/>
  <c r="H25" i="13" s="1"/>
  <c r="D24" i="13"/>
  <c r="H24" i="13" s="1"/>
  <c r="D23" i="13"/>
  <c r="H23" i="13" s="1"/>
  <c r="D22" i="13"/>
  <c r="H22" i="13" s="1"/>
  <c r="D21" i="13"/>
  <c r="H21" i="13" s="1"/>
  <c r="D20" i="13"/>
  <c r="H20" i="13" s="1"/>
  <c r="D19" i="13"/>
  <c r="H19" i="13" s="1"/>
  <c r="D18" i="13"/>
  <c r="D17" i="13"/>
  <c r="H17" i="13" s="1"/>
  <c r="D16" i="13"/>
  <c r="H16" i="13" s="1"/>
  <c r="D15" i="13"/>
  <c r="H15" i="13" s="1"/>
  <c r="D14" i="13"/>
  <c r="H14" i="13" s="1"/>
  <c r="B8" i="13"/>
  <c r="D46" i="13" s="1"/>
  <c r="G3" i="13"/>
  <c r="A3" i="12"/>
  <c r="I13" i="12" s="1"/>
  <c r="G45" i="12"/>
  <c r="G3" i="12" s="1"/>
  <c r="F45" i="12"/>
  <c r="E45" i="12"/>
  <c r="E3" i="12" s="1"/>
  <c r="C45" i="12"/>
  <c r="B45" i="12"/>
  <c r="D44" i="12"/>
  <c r="H44" i="12" s="1"/>
  <c r="D43" i="12"/>
  <c r="H43" i="12" s="1"/>
  <c r="D42" i="12"/>
  <c r="H42" i="12" s="1"/>
  <c r="D41" i="12"/>
  <c r="H41" i="12" s="1"/>
  <c r="D40" i="12"/>
  <c r="H40" i="12" s="1"/>
  <c r="D39" i="12"/>
  <c r="H39" i="12" s="1"/>
  <c r="D38" i="12"/>
  <c r="H38" i="12" s="1"/>
  <c r="D37" i="12"/>
  <c r="H37" i="12" s="1"/>
  <c r="D36" i="12"/>
  <c r="H36" i="12" s="1"/>
  <c r="D35" i="12"/>
  <c r="H35" i="12" s="1"/>
  <c r="D34" i="12"/>
  <c r="H34" i="12" s="1"/>
  <c r="D33" i="12"/>
  <c r="H33" i="12" s="1"/>
  <c r="D32" i="12"/>
  <c r="H32" i="12" s="1"/>
  <c r="D31" i="12"/>
  <c r="H31" i="12" s="1"/>
  <c r="D30" i="12"/>
  <c r="H30" i="12" s="1"/>
  <c r="D29" i="12"/>
  <c r="H29" i="12" s="1"/>
  <c r="D28" i="12"/>
  <c r="H28" i="12" s="1"/>
  <c r="D27" i="12"/>
  <c r="H27" i="12" s="1"/>
  <c r="D26" i="12"/>
  <c r="H26" i="12" s="1"/>
  <c r="D25" i="12"/>
  <c r="H25" i="12" s="1"/>
  <c r="D24" i="12"/>
  <c r="H24" i="12" s="1"/>
  <c r="D23" i="12"/>
  <c r="H23" i="12" s="1"/>
  <c r="D22" i="12"/>
  <c r="H22" i="12" s="1"/>
  <c r="D21" i="12"/>
  <c r="H21" i="12" s="1"/>
  <c r="D20" i="12"/>
  <c r="H20" i="12" s="1"/>
  <c r="D19" i="12"/>
  <c r="H19" i="12" s="1"/>
  <c r="D18" i="12"/>
  <c r="H18" i="12" s="1"/>
  <c r="D17" i="12"/>
  <c r="H17" i="12" s="1"/>
  <c r="D16" i="12"/>
  <c r="H16" i="12" s="1"/>
  <c r="D15" i="12"/>
  <c r="H15" i="12" s="1"/>
  <c r="D14" i="12"/>
  <c r="H14" i="12" s="1"/>
  <c r="B8" i="12"/>
  <c r="D47" i="12" s="1"/>
  <c r="G44" i="11"/>
  <c r="G3" i="11" s="1"/>
  <c r="F44" i="11"/>
  <c r="E44" i="11"/>
  <c r="E3" i="11" s="1"/>
  <c r="C44" i="11"/>
  <c r="B44" i="11"/>
  <c r="D43" i="11"/>
  <c r="H43" i="11" s="1"/>
  <c r="D42" i="11"/>
  <c r="H42" i="11" s="1"/>
  <c r="D41" i="11"/>
  <c r="H41" i="11" s="1"/>
  <c r="D40" i="11"/>
  <c r="H40" i="11" s="1"/>
  <c r="D39" i="11"/>
  <c r="H39" i="11" s="1"/>
  <c r="D38" i="11"/>
  <c r="H38" i="11" s="1"/>
  <c r="D37" i="11"/>
  <c r="H37" i="11" s="1"/>
  <c r="D36" i="11"/>
  <c r="H36" i="11" s="1"/>
  <c r="D35" i="11"/>
  <c r="H35" i="11" s="1"/>
  <c r="D34" i="11"/>
  <c r="H34" i="11" s="1"/>
  <c r="D33" i="11"/>
  <c r="H33" i="11" s="1"/>
  <c r="D32" i="11"/>
  <c r="H32" i="11" s="1"/>
  <c r="D31" i="11"/>
  <c r="H31" i="11" s="1"/>
  <c r="D30" i="11"/>
  <c r="H30" i="11" s="1"/>
  <c r="D29" i="11"/>
  <c r="H29" i="11" s="1"/>
  <c r="D28" i="11"/>
  <c r="H28" i="11" s="1"/>
  <c r="D27" i="11"/>
  <c r="H27" i="11" s="1"/>
  <c r="D26" i="11"/>
  <c r="H26" i="11" s="1"/>
  <c r="D25" i="11"/>
  <c r="H25" i="11" s="1"/>
  <c r="D24" i="11"/>
  <c r="H24" i="11" s="1"/>
  <c r="D23" i="11"/>
  <c r="H23" i="11" s="1"/>
  <c r="D22" i="11"/>
  <c r="H22" i="11" s="1"/>
  <c r="D21" i="11"/>
  <c r="H21" i="11" s="1"/>
  <c r="D20" i="11"/>
  <c r="H20" i="11" s="1"/>
  <c r="D19" i="11"/>
  <c r="H19" i="11" s="1"/>
  <c r="D18" i="11"/>
  <c r="H18" i="11" s="1"/>
  <c r="D17" i="11"/>
  <c r="H17" i="11" s="1"/>
  <c r="D16" i="11"/>
  <c r="H16" i="11" s="1"/>
  <c r="D15" i="11"/>
  <c r="H15" i="11" s="1"/>
  <c r="D14" i="11"/>
  <c r="H14" i="11" s="1"/>
  <c r="B8" i="11"/>
  <c r="D46" i="11" s="1"/>
  <c r="B10" i="12"/>
  <c r="B10" i="13" s="1"/>
  <c r="B10" i="14" s="1"/>
  <c r="B10" i="15" s="1"/>
  <c r="B10" i="16" s="1"/>
  <c r="D49" i="17" l="1"/>
  <c r="I15" i="17"/>
  <c r="I16" i="17" s="1"/>
  <c r="I17" i="17" s="1"/>
  <c r="I18" i="17" s="1"/>
  <c r="I19" i="17" s="1"/>
  <c r="I20" i="17" s="1"/>
  <c r="I21" i="17" s="1"/>
  <c r="I22" i="17" s="1"/>
  <c r="I23" i="17" s="1"/>
  <c r="I24" i="17" s="1"/>
  <c r="I25" i="17" s="1"/>
  <c r="I26" i="17" s="1"/>
  <c r="I27" i="17" s="1"/>
  <c r="I28" i="17" s="1"/>
  <c r="I29" i="17" s="1"/>
  <c r="I30" i="17" s="1"/>
  <c r="I31" i="17" s="1"/>
  <c r="I32" i="17" s="1"/>
  <c r="I33" i="17" s="1"/>
  <c r="I34" i="17" s="1"/>
  <c r="I35" i="17" s="1"/>
  <c r="I36" i="17" s="1"/>
  <c r="I37" i="17" s="1"/>
  <c r="I38" i="17" s="1"/>
  <c r="I39" i="17" s="1"/>
  <c r="I40" i="17" s="1"/>
  <c r="I41" i="17" s="1"/>
  <c r="I42" i="17" s="1"/>
  <c r="I43" i="17" s="1"/>
  <c r="I44" i="17" s="1"/>
  <c r="I3" i="17" s="1"/>
  <c r="D45" i="17"/>
  <c r="D46" i="16"/>
  <c r="D42" i="16"/>
  <c r="D49" i="15"/>
  <c r="D45" i="15"/>
  <c r="D45" i="14"/>
  <c r="D48" i="14" s="1"/>
  <c r="D49" i="14"/>
  <c r="D44" i="13"/>
  <c r="D47" i="13" s="1"/>
  <c r="D48" i="13"/>
  <c r="H18" i="13"/>
  <c r="I14" i="12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3" i="12" s="1"/>
  <c r="A3" i="13" s="1"/>
  <c r="I13" i="13" s="1"/>
  <c r="I14" i="13" s="1"/>
  <c r="I15" i="13" s="1"/>
  <c r="I16" i="13" s="1"/>
  <c r="I17" i="13" s="1"/>
  <c r="D49" i="12"/>
  <c r="D45" i="12"/>
  <c r="D48" i="11"/>
  <c r="D44" i="11"/>
  <c r="D48" i="17" l="1"/>
  <c r="D3" i="17"/>
  <c r="D45" i="16"/>
  <c r="D3" i="16"/>
  <c r="D3" i="15"/>
  <c r="D48" i="15"/>
  <c r="D3" i="14"/>
  <c r="I18" i="13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3" i="13" s="1"/>
  <c r="A3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3" i="14" s="1"/>
  <c r="A3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3" i="15" s="1"/>
  <c r="A3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3" i="16" s="1"/>
  <c r="D3" i="13"/>
  <c r="D48" i="12"/>
  <c r="D3" i="12"/>
  <c r="D47" i="11"/>
  <c r="D3" i="11"/>
  <c r="I13" i="1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</calcChain>
</file>

<file path=xl/sharedStrings.xml><?xml version="1.0" encoding="utf-8"?>
<sst xmlns="http://schemas.openxmlformats.org/spreadsheetml/2006/main" count="313" uniqueCount="41">
  <si>
    <t>Остаток</t>
  </si>
  <si>
    <t>Выручка</t>
  </si>
  <si>
    <t>Терминал</t>
  </si>
  <si>
    <t>Инкассация</t>
  </si>
  <si>
    <t>В кассе</t>
  </si>
  <si>
    <t>г. Москва</t>
  </si>
  <si>
    <t>раб/дн</t>
  </si>
  <si>
    <t>ТМ</t>
  </si>
  <si>
    <t>Дата</t>
  </si>
  <si>
    <t xml:space="preserve"> Возврат</t>
  </si>
  <si>
    <t>Выручка фактическая</t>
  </si>
  <si>
    <t>Оплачено по картам</t>
  </si>
  <si>
    <t>Количество чеков</t>
  </si>
  <si>
    <t>Сумма выр наличные</t>
  </si>
  <si>
    <t>Остаток в кассе</t>
  </si>
  <si>
    <t>Продавец 1</t>
  </si>
  <si>
    <t>Время прихода</t>
  </si>
  <si>
    <t>Время ухода</t>
  </si>
  <si>
    <t>Продавец 2</t>
  </si>
  <si>
    <t>Кол-во дней</t>
  </si>
  <si>
    <t>ср. выручка</t>
  </si>
  <si>
    <t>ср. чек</t>
  </si>
  <si>
    <t>Сентябрь</t>
  </si>
  <si>
    <t>Октябрь</t>
  </si>
  <si>
    <t>Смола</t>
  </si>
  <si>
    <t>Мария</t>
  </si>
  <si>
    <t>Таня</t>
  </si>
  <si>
    <t>8:00</t>
  </si>
  <si>
    <t>19:00</t>
  </si>
  <si>
    <t>генералка</t>
  </si>
  <si>
    <t>растановка</t>
  </si>
  <si>
    <t>Ноябрь</t>
  </si>
  <si>
    <t>Маша</t>
  </si>
  <si>
    <t>Мария К</t>
  </si>
  <si>
    <t>Машуля</t>
  </si>
  <si>
    <t xml:space="preserve">Мария К </t>
  </si>
  <si>
    <t>Декабрь</t>
  </si>
  <si>
    <t>Январь</t>
  </si>
  <si>
    <t>Майорова</t>
  </si>
  <si>
    <t>Февраль</t>
  </si>
  <si>
    <t>Март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</si>
</sst>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b/>
      <i/>
      <sz val="14"/>
      <color indexed="8"/>
      <name val="Calibri"/>
      <family val="2"/>
      <charset val="204"/>
    </font>
    <font>
      <b/>
      <i/>
      <u/>
      <sz val="16"/>
      <color indexed="8"/>
      <name val="Calibri"/>
      <family val="2"/>
      <charset val="204"/>
    </font>
    <font>
      <i/>
      <u/>
      <sz val="11"/>
      <color indexed="8"/>
      <name val="Calibri"/>
      <family val="2"/>
      <charset val="204"/>
    </font>
    <font>
      <b/>
      <i/>
      <sz val="12"/>
      <color rgb="FF000000"/>
      <name val="Calibri"/>
      <family val="2"/>
      <charset val="204"/>
    </font>
    <font>
      <b/>
      <sz val="12"/>
      <color indexed="8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0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sz val="8"/>
      <color indexed="8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55"/>
        <bgColor indexed="64"/>
      </patternFill>
    </fill>
    <fill>
      <patternFill patternType="solid">
        <fgColor rgb="FFF8CBAC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5E0B2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2" fontId="0" fillId="0" borderId="0" xfId="0" applyNumberFormat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9" fillId="6" borderId="2" xfId="0" applyFont="1" applyFill="1" applyBorder="1" applyAlignment="1">
      <alignment horizontal="center" vertical="center" wrapText="1"/>
    </xf>
    <xf numFmtId="2" fontId="9" fillId="6" borderId="2" xfId="0" applyNumberFormat="1" applyFont="1" applyFill="1" applyBorder="1" applyAlignment="1">
      <alignment horizontal="center" vertical="center" wrapText="1"/>
    </xf>
    <xf numFmtId="49" fontId="10" fillId="7" borderId="2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49" fontId="9" fillId="6" borderId="2" xfId="0" applyNumberFormat="1" applyFont="1" applyFill="1" applyBorder="1" applyAlignment="1">
      <alignment horizontal="center" vertical="center" wrapText="1"/>
    </xf>
    <xf numFmtId="14" fontId="12" fillId="9" borderId="2" xfId="0" applyNumberFormat="1" applyFont="1" applyFill="1" applyBorder="1" applyAlignment="1">
      <alignment horizontal="center" vertical="center"/>
    </xf>
    <xf numFmtId="2" fontId="12" fillId="9" borderId="2" xfId="0" applyNumberFormat="1" applyFont="1" applyFill="1" applyBorder="1" applyAlignment="1" applyProtection="1">
      <alignment horizontal="center" vertical="center"/>
      <protection locked="0"/>
    </xf>
    <xf numFmtId="0" fontId="12" fillId="9" borderId="2" xfId="0" applyFont="1" applyFill="1" applyBorder="1" applyAlignment="1" applyProtection="1">
      <alignment horizontal="center"/>
      <protection locked="0"/>
    </xf>
    <xf numFmtId="2" fontId="12" fillId="9" borderId="2" xfId="0" applyNumberFormat="1" applyFont="1" applyFill="1" applyBorder="1" applyAlignment="1">
      <alignment horizontal="center" vertical="center"/>
    </xf>
    <xf numFmtId="2" fontId="12" fillId="9" borderId="2" xfId="0" applyNumberFormat="1" applyFont="1" applyFill="1" applyBorder="1" applyAlignment="1" applyProtection="1">
      <alignment horizontal="center" wrapText="1"/>
      <protection locked="0"/>
    </xf>
    <xf numFmtId="0" fontId="12" fillId="10" borderId="2" xfId="0" applyFont="1" applyFill="1" applyBorder="1" applyAlignment="1" applyProtection="1">
      <alignment horizontal="center" vertical="center"/>
      <protection locked="0"/>
    </xf>
    <xf numFmtId="0" fontId="13" fillId="11" borderId="2" xfId="0" applyFont="1" applyFill="1" applyBorder="1" applyProtection="1">
      <protection locked="0"/>
    </xf>
    <xf numFmtId="2" fontId="14" fillId="12" borderId="2" xfId="0" applyNumberFormat="1" applyFont="1" applyFill="1" applyBorder="1"/>
    <xf numFmtId="49" fontId="12" fillId="9" borderId="2" xfId="0" applyNumberFormat="1" applyFont="1" applyFill="1" applyBorder="1"/>
    <xf numFmtId="49" fontId="15" fillId="9" borderId="2" xfId="0" applyNumberFormat="1" applyFont="1" applyFill="1" applyBorder="1"/>
    <xf numFmtId="0" fontId="15" fillId="0" borderId="0" xfId="0" applyFont="1"/>
    <xf numFmtId="2" fontId="14" fillId="0" borderId="2" xfId="0" applyNumberFormat="1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/>
      <protection locked="0"/>
    </xf>
    <xf numFmtId="2" fontId="14" fillId="0" borderId="2" xfId="0" applyNumberFormat="1" applyFont="1" applyBorder="1" applyAlignment="1" applyProtection="1">
      <alignment horizontal="center" wrapText="1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3" fillId="6" borderId="2" xfId="0" applyFont="1" applyFill="1" applyBorder="1" applyProtection="1">
      <protection locked="0"/>
    </xf>
    <xf numFmtId="2" fontId="14" fillId="0" borderId="2" xfId="0" applyNumberFormat="1" applyFont="1" applyBorder="1"/>
    <xf numFmtId="0" fontId="14" fillId="0" borderId="2" xfId="0" applyFont="1" applyBorder="1"/>
    <xf numFmtId="20" fontId="0" fillId="0" borderId="2" xfId="0" applyNumberFormat="1" applyBorder="1"/>
    <xf numFmtId="49" fontId="0" fillId="0" borderId="2" xfId="0" applyNumberFormat="1" applyBorder="1"/>
    <xf numFmtId="2" fontId="4" fillId="0" borderId="2" xfId="0" applyNumberFormat="1" applyFont="1" applyBorder="1" applyAlignment="1">
      <alignment horizontal="center"/>
    </xf>
    <xf numFmtId="0" fontId="0" fillId="0" borderId="2" xfId="0" applyBorder="1"/>
    <xf numFmtId="0" fontId="16" fillId="0" borderId="2" xfId="0" applyFont="1" applyBorder="1" applyAlignment="1">
      <alignment horizontal="center"/>
    </xf>
    <xf numFmtId="1" fontId="16" fillId="0" borderId="2" xfId="0" applyNumberFormat="1" applyFont="1" applyBorder="1" applyAlignment="1">
      <alignment horizontal="center" vertical="center"/>
    </xf>
    <xf numFmtId="0" fontId="2" fillId="2" borderId="0" xfId="2" applyFont="1" applyFill="1" applyAlignment="1">
      <alignment horizontal="center"/>
    </xf>
    <xf numFmtId="0" fontId="1" fillId="0" borderId="0" xfId="2" applyAlignment="1">
      <alignment horizontal="center"/>
    </xf>
    <xf numFmtId="0" fontId="2" fillId="0" borderId="0" xfId="2" applyFont="1" applyAlignment="1">
      <alignment horizontal="center"/>
    </xf>
    <xf numFmtId="2" fontId="2" fillId="0" borderId="0" xfId="2" applyNumberFormat="1" applyFont="1" applyAlignment="1">
      <alignment horizontal="center"/>
    </xf>
    <xf numFmtId="0" fontId="3" fillId="0" borderId="0" xfId="2" applyFont="1"/>
    <xf numFmtId="0" fontId="1" fillId="0" borderId="0" xfId="2"/>
    <xf numFmtId="0" fontId="4" fillId="0" borderId="0" xfId="2" applyFont="1"/>
    <xf numFmtId="43" fontId="2" fillId="2" borderId="0" xfId="3" applyFont="1" applyFill="1" applyAlignment="1" applyProtection="1">
      <alignment horizontal="center"/>
    </xf>
    <xf numFmtId="2" fontId="1" fillId="0" borderId="0" xfId="2" applyNumberFormat="1" applyAlignment="1">
      <alignment horizontal="center"/>
    </xf>
    <xf numFmtId="43" fontId="5" fillId="2" borderId="0" xfId="3" applyFont="1" applyFill="1" applyProtection="1"/>
    <xf numFmtId="0" fontId="6" fillId="3" borderId="0" xfId="2" applyFont="1" applyFill="1" applyAlignment="1">
      <alignment horizontal="center"/>
    </xf>
    <xf numFmtId="0" fontId="7" fillId="4" borderId="0" xfId="2" applyFont="1" applyFill="1" applyAlignment="1">
      <alignment horizontal="center"/>
    </xf>
    <xf numFmtId="0" fontId="4" fillId="0" borderId="0" xfId="2" applyFont="1" applyAlignment="1">
      <alignment horizontal="center"/>
    </xf>
    <xf numFmtId="0" fontId="9" fillId="6" borderId="2" xfId="2" applyFont="1" applyFill="1" applyBorder="1" applyAlignment="1">
      <alignment horizontal="center" vertical="center" wrapText="1"/>
    </xf>
    <xf numFmtId="2" fontId="9" fillId="6" borderId="2" xfId="2" applyNumberFormat="1" applyFont="1" applyFill="1" applyBorder="1" applyAlignment="1">
      <alignment horizontal="center" vertical="center" wrapText="1"/>
    </xf>
    <xf numFmtId="49" fontId="10" fillId="7" borderId="2" xfId="2" applyNumberFormat="1" applyFont="1" applyFill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 wrapText="1"/>
    </xf>
    <xf numFmtId="43" fontId="11" fillId="8" borderId="2" xfId="3" applyFont="1" applyFill="1" applyBorder="1" applyAlignment="1">
      <alignment horizontal="center" vertical="center" wrapText="1"/>
    </xf>
    <xf numFmtId="49" fontId="9" fillId="6" borderId="2" xfId="2" applyNumberFormat="1" applyFont="1" applyFill="1" applyBorder="1" applyAlignment="1">
      <alignment horizontal="center" vertical="center" wrapText="1"/>
    </xf>
    <xf numFmtId="14" fontId="12" fillId="9" borderId="2" xfId="2" applyNumberFormat="1" applyFont="1" applyFill="1" applyBorder="1" applyAlignment="1">
      <alignment horizontal="center" vertical="center"/>
    </xf>
    <xf numFmtId="2" fontId="14" fillId="0" borderId="2" xfId="2" applyNumberFormat="1" applyFont="1" applyBorder="1" applyAlignment="1" applyProtection="1">
      <alignment horizontal="center" vertical="center"/>
      <protection locked="0"/>
    </xf>
    <xf numFmtId="0" fontId="14" fillId="0" borderId="2" xfId="2" applyFont="1" applyBorder="1" applyAlignment="1" applyProtection="1">
      <alignment horizontal="center"/>
      <protection locked="0"/>
    </xf>
    <xf numFmtId="2" fontId="12" fillId="9" borderId="2" xfId="2" applyNumberFormat="1" applyFont="1" applyFill="1" applyBorder="1" applyAlignment="1">
      <alignment horizontal="center" vertical="center"/>
    </xf>
    <xf numFmtId="2" fontId="14" fillId="0" borderId="2" xfId="2" applyNumberFormat="1" applyFont="1" applyBorder="1" applyAlignment="1" applyProtection="1">
      <alignment horizontal="center" wrapText="1"/>
      <protection locked="0"/>
    </xf>
    <xf numFmtId="0" fontId="14" fillId="0" borderId="2" xfId="2" applyFont="1" applyBorder="1" applyAlignment="1" applyProtection="1">
      <alignment horizontal="center" vertical="center"/>
      <protection locked="0"/>
    </xf>
    <xf numFmtId="0" fontId="3" fillId="6" borderId="2" xfId="2" applyFont="1" applyFill="1" applyBorder="1" applyProtection="1">
      <protection locked="0"/>
    </xf>
    <xf numFmtId="2" fontId="14" fillId="0" borderId="2" xfId="2" applyNumberFormat="1" applyFont="1" applyBorder="1"/>
    <xf numFmtId="43" fontId="14" fillId="0" borderId="2" xfId="3" applyFont="1" applyBorder="1"/>
    <xf numFmtId="0" fontId="14" fillId="0" borderId="2" xfId="2" applyFont="1" applyBorder="1"/>
    <xf numFmtId="20" fontId="1" fillId="0" borderId="2" xfId="2" applyNumberFormat="1" applyBorder="1"/>
    <xf numFmtId="49" fontId="1" fillId="0" borderId="2" xfId="2" applyNumberFormat="1" applyBorder="1"/>
    <xf numFmtId="2" fontId="12" fillId="9" borderId="2" xfId="2" applyNumberFormat="1" applyFont="1" applyFill="1" applyBorder="1" applyAlignment="1" applyProtection="1">
      <alignment horizontal="center" vertical="center"/>
      <protection locked="0"/>
    </xf>
    <xf numFmtId="0" fontId="12" fillId="9" borderId="2" xfId="2" applyFont="1" applyFill="1" applyBorder="1" applyAlignment="1" applyProtection="1">
      <alignment horizontal="center"/>
      <protection locked="0"/>
    </xf>
    <xf numFmtId="2" fontId="12" fillId="9" borderId="2" xfId="2" applyNumberFormat="1" applyFont="1" applyFill="1" applyBorder="1" applyAlignment="1" applyProtection="1">
      <alignment horizontal="center" wrapText="1"/>
      <protection locked="0"/>
    </xf>
    <xf numFmtId="0" fontId="12" fillId="10" borderId="2" xfId="2" applyFont="1" applyFill="1" applyBorder="1" applyAlignment="1" applyProtection="1">
      <alignment horizontal="center" vertical="center"/>
      <protection locked="0"/>
    </xf>
    <xf numFmtId="0" fontId="13" fillId="11" borderId="2" xfId="2" applyFont="1" applyFill="1" applyBorder="1" applyProtection="1">
      <protection locked="0"/>
    </xf>
    <xf numFmtId="2" fontId="14" fillId="12" borderId="2" xfId="2" applyNumberFormat="1" applyFont="1" applyFill="1" applyBorder="1"/>
    <xf numFmtId="43" fontId="14" fillId="12" borderId="2" xfId="3" applyFont="1" applyFill="1" applyBorder="1"/>
    <xf numFmtId="49" fontId="12" fillId="9" borderId="2" xfId="2" applyNumberFormat="1" applyFont="1" applyFill="1" applyBorder="1"/>
    <xf numFmtId="49" fontId="15" fillId="9" borderId="2" xfId="2" applyNumberFormat="1" applyFont="1" applyFill="1" applyBorder="1"/>
    <xf numFmtId="0" fontId="15" fillId="0" borderId="0" xfId="2" applyFont="1"/>
    <xf numFmtId="2" fontId="4" fillId="0" borderId="2" xfId="2" applyNumberFormat="1" applyFont="1" applyBorder="1" applyAlignment="1">
      <alignment horizontal="center"/>
    </xf>
    <xf numFmtId="0" fontId="1" fillId="0" borderId="2" xfId="2" applyBorder="1"/>
    <xf numFmtId="43" fontId="0" fillId="0" borderId="2" xfId="3" applyFont="1" applyBorder="1"/>
    <xf numFmtId="0" fontId="16" fillId="0" borderId="2" xfId="2" applyFont="1" applyBorder="1" applyAlignment="1">
      <alignment horizontal="center"/>
    </xf>
    <xf numFmtId="1" fontId="16" fillId="0" borderId="2" xfId="2" applyNumberFormat="1" applyFont="1" applyBorder="1" applyAlignment="1">
      <alignment horizontal="center" vertical="center"/>
    </xf>
    <xf numFmtId="49" fontId="0" fillId="0" borderId="2" xfId="2" applyNumberFormat="1" applyFont="1" applyBorder="1"/>
    <xf numFmtId="43" fontId="8" fillId="5" borderId="1" xfId="2" applyNumberFormat="1" applyFont="1" applyFill="1" applyBorder="1" applyAlignment="1">
      <alignment horizontal="center"/>
    </xf>
    <xf numFmtId="0" fontId="8" fillId="5" borderId="1" xfId="2" applyFont="1" applyFill="1" applyBorder="1" applyAlignment="1">
      <alignment horizontal="center"/>
    </xf>
    <xf numFmtId="43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</cellXfs>
  <cellStyles count="4">
    <cellStyle name="Обычный" xfId="0" builtinId="0"/>
    <cellStyle name="Обычный 10" xfId="2"/>
    <cellStyle name="Финансовый 10" xfId="3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8"/>
  <sheetViews>
    <sheetView zoomScale="115" zoomScaleNormal="115" workbookViewId="0">
      <selection activeCell="K32" sqref="K32"/>
    </sheetView>
  </sheetViews>
  <sheetFormatPr defaultColWidth="8.85546875" defaultRowHeight="15.75" x14ac:dyDescent="0.25"/>
  <cols>
    <col min="1" max="1" width="13.7109375" style="41" bestFit="1" customWidth="1"/>
    <col min="2" max="2" width="15.7109375" style="41" customWidth="1"/>
    <col min="3" max="3" width="12" style="41" bestFit="1" customWidth="1"/>
    <col min="4" max="4" width="14.85546875" style="41" bestFit="1" customWidth="1"/>
    <col min="5" max="5" width="16.5703125" style="48" bestFit="1" customWidth="1"/>
    <col min="6" max="6" width="13.28515625" style="41" customWidth="1"/>
    <col min="7" max="7" width="13.5703125" style="44" bestFit="1" customWidth="1"/>
    <col min="8" max="8" width="11.5703125" style="45" bestFit="1" customWidth="1"/>
    <col min="9" max="9" width="17.7109375" style="45" customWidth="1"/>
    <col min="10" max="10" width="12.7109375" style="45" bestFit="1" customWidth="1"/>
    <col min="11" max="11" width="14.28515625" style="45" bestFit="1" customWidth="1"/>
    <col min="12" max="12" width="8.85546875" style="45"/>
    <col min="13" max="13" width="12.7109375" style="45" bestFit="1" customWidth="1"/>
    <col min="14" max="14" width="9.28515625" style="45" bestFit="1" customWidth="1"/>
    <col min="15" max="16384" width="8.85546875" style="45"/>
  </cols>
  <sheetData>
    <row r="2" spans="1:15" ht="18.75" x14ac:dyDescent="0.3">
      <c r="A2" s="40" t="s">
        <v>0</v>
      </c>
      <c r="D2" s="42" t="s">
        <v>1</v>
      </c>
      <c r="E2" s="43" t="s">
        <v>2</v>
      </c>
      <c r="F2" s="42"/>
      <c r="G2" s="44" t="s">
        <v>3</v>
      </c>
      <c r="I2" s="46" t="s">
        <v>4</v>
      </c>
    </row>
    <row r="3" spans="1:15" ht="18.75" x14ac:dyDescent="0.3">
      <c r="A3" s="47">
        <v>0</v>
      </c>
      <c r="B3" s="48"/>
      <c r="C3" s="48"/>
      <c r="D3" s="43">
        <f>D44</f>
        <v>0</v>
      </c>
      <c r="E3" s="43">
        <f>E44</f>
        <v>0</v>
      </c>
      <c r="F3" s="43"/>
      <c r="G3" s="43">
        <f>G44</f>
        <v>0</v>
      </c>
      <c r="I3" s="49">
        <v>0</v>
      </c>
    </row>
    <row r="5" spans="1:15" x14ac:dyDescent="0.25">
      <c r="A5" s="41" t="s">
        <v>5</v>
      </c>
    </row>
    <row r="7" spans="1:15" ht="21" x14ac:dyDescent="0.35">
      <c r="A7" s="41">
        <v>2025</v>
      </c>
      <c r="B7" s="50" t="s">
        <v>22</v>
      </c>
    </row>
    <row r="8" spans="1:15" x14ac:dyDescent="0.25">
      <c r="A8" s="41" t="s">
        <v>6</v>
      </c>
      <c r="B8" s="51">
        <f>NETWORKDAYS(A14,A43)</f>
        <v>22</v>
      </c>
    </row>
    <row r="10" spans="1:15" ht="18.75" x14ac:dyDescent="0.3">
      <c r="A10" s="52" t="s">
        <v>7</v>
      </c>
      <c r="B10" s="87" t="s">
        <v>24</v>
      </c>
      <c r="C10" s="88"/>
      <c r="D10" s="88"/>
    </row>
    <row r="12" spans="1:15" ht="47.25" x14ac:dyDescent="0.25">
      <c r="A12" s="53" t="s">
        <v>8</v>
      </c>
      <c r="B12" s="53" t="s">
        <v>1</v>
      </c>
      <c r="C12" s="53" t="s">
        <v>9</v>
      </c>
      <c r="D12" s="53" t="s">
        <v>10</v>
      </c>
      <c r="E12" s="54" t="s">
        <v>11</v>
      </c>
      <c r="F12" s="53" t="s">
        <v>12</v>
      </c>
      <c r="G12" s="53" t="s">
        <v>3</v>
      </c>
      <c r="H12" s="53" t="s">
        <v>13</v>
      </c>
      <c r="I12" s="53" t="s">
        <v>14</v>
      </c>
      <c r="J12" s="55" t="s">
        <v>15</v>
      </c>
      <c r="K12" s="55" t="s">
        <v>16</v>
      </c>
      <c r="L12" s="55" t="s">
        <v>17</v>
      </c>
      <c r="M12" s="55" t="s">
        <v>18</v>
      </c>
      <c r="N12" s="55" t="s">
        <v>16</v>
      </c>
      <c r="O12" s="55" t="s">
        <v>17</v>
      </c>
    </row>
    <row r="13" spans="1:15" x14ac:dyDescent="0.25">
      <c r="A13" s="53"/>
      <c r="B13" s="53"/>
      <c r="C13" s="53"/>
      <c r="D13" s="53"/>
      <c r="E13" s="54"/>
      <c r="F13" s="53"/>
      <c r="G13" s="53"/>
      <c r="H13" s="56"/>
      <c r="I13" s="57">
        <f>A3</f>
        <v>0</v>
      </c>
      <c r="J13" s="58"/>
      <c r="K13" s="58"/>
      <c r="L13" s="58"/>
      <c r="M13" s="58"/>
      <c r="N13" s="58"/>
      <c r="O13" s="58"/>
    </row>
    <row r="14" spans="1:15" x14ac:dyDescent="0.25">
      <c r="A14" s="59">
        <v>45901</v>
      </c>
      <c r="B14" s="60"/>
      <c r="C14" s="61"/>
      <c r="D14" s="62">
        <f t="shared" ref="D14:D43" si="0">B14-C14</f>
        <v>0</v>
      </c>
      <c r="E14" s="63"/>
      <c r="F14" s="64"/>
      <c r="G14" s="65"/>
      <c r="H14" s="66">
        <f t="shared" ref="H14:H43" si="1">D14-E14</f>
        <v>0</v>
      </c>
      <c r="I14" s="67">
        <f t="shared" ref="I14:I43" si="2">I13+H14-G14</f>
        <v>0</v>
      </c>
      <c r="J14" s="33"/>
      <c r="K14" s="34"/>
      <c r="L14" s="34"/>
      <c r="M14" s="70"/>
      <c r="N14" s="70"/>
      <c r="O14" s="70"/>
    </row>
    <row r="15" spans="1:15" x14ac:dyDescent="0.25">
      <c r="A15" s="59">
        <v>45902</v>
      </c>
      <c r="B15" s="60"/>
      <c r="C15" s="61"/>
      <c r="D15" s="62">
        <f t="shared" si="0"/>
        <v>0</v>
      </c>
      <c r="E15" s="63"/>
      <c r="F15" s="64"/>
      <c r="G15" s="65"/>
      <c r="H15" s="66">
        <f t="shared" si="1"/>
        <v>0</v>
      </c>
      <c r="I15" s="67">
        <f t="shared" si="2"/>
        <v>0</v>
      </c>
      <c r="J15" s="33"/>
      <c r="K15" s="34"/>
      <c r="L15" s="34"/>
      <c r="M15" s="86"/>
      <c r="N15" s="70"/>
      <c r="O15" s="70"/>
    </row>
    <row r="16" spans="1:15" x14ac:dyDescent="0.25">
      <c r="A16" s="59">
        <v>45903</v>
      </c>
      <c r="B16" s="60"/>
      <c r="C16" s="61"/>
      <c r="D16" s="62">
        <f t="shared" si="0"/>
        <v>0</v>
      </c>
      <c r="E16" s="63"/>
      <c r="F16" s="64"/>
      <c r="G16" s="65"/>
      <c r="H16" s="66">
        <f t="shared" si="1"/>
        <v>0</v>
      </c>
      <c r="I16" s="67">
        <f t="shared" si="2"/>
        <v>0</v>
      </c>
      <c r="J16" s="33"/>
      <c r="K16" s="34"/>
      <c r="L16" s="34"/>
      <c r="M16" s="70"/>
      <c r="N16" s="70"/>
      <c r="O16" s="70"/>
    </row>
    <row r="17" spans="1:15" x14ac:dyDescent="0.25">
      <c r="A17" s="59">
        <v>45904</v>
      </c>
      <c r="B17" s="60"/>
      <c r="C17" s="61"/>
      <c r="D17" s="62">
        <f t="shared" si="0"/>
        <v>0</v>
      </c>
      <c r="E17" s="63"/>
      <c r="F17" s="64"/>
      <c r="G17" s="65"/>
      <c r="H17" s="66">
        <f t="shared" si="1"/>
        <v>0</v>
      </c>
      <c r="I17" s="67">
        <f t="shared" si="2"/>
        <v>0</v>
      </c>
      <c r="J17" s="33"/>
      <c r="K17" s="34"/>
      <c r="L17" s="34"/>
      <c r="M17" s="70"/>
      <c r="N17" s="70"/>
      <c r="O17" s="70"/>
    </row>
    <row r="18" spans="1:15" x14ac:dyDescent="0.25">
      <c r="A18" s="59">
        <v>45905</v>
      </c>
      <c r="B18" s="60"/>
      <c r="C18" s="61"/>
      <c r="D18" s="62">
        <f t="shared" si="0"/>
        <v>0</v>
      </c>
      <c r="E18" s="63"/>
      <c r="F18" s="64"/>
      <c r="G18" s="65"/>
      <c r="H18" s="66">
        <f t="shared" si="1"/>
        <v>0</v>
      </c>
      <c r="I18" s="67">
        <f t="shared" si="2"/>
        <v>0</v>
      </c>
      <c r="J18" s="33"/>
      <c r="K18" s="34"/>
      <c r="L18" s="34"/>
      <c r="M18" s="70"/>
      <c r="N18" s="70"/>
      <c r="O18" s="70"/>
    </row>
    <row r="19" spans="1:15" s="80" customFormat="1" x14ac:dyDescent="0.25">
      <c r="A19" s="59">
        <v>45906</v>
      </c>
      <c r="B19" s="71"/>
      <c r="C19" s="72"/>
      <c r="D19" s="62">
        <f t="shared" si="0"/>
        <v>0</v>
      </c>
      <c r="E19" s="73"/>
      <c r="F19" s="74"/>
      <c r="G19" s="75"/>
      <c r="H19" s="76">
        <f t="shared" si="1"/>
        <v>0</v>
      </c>
      <c r="I19" s="77">
        <f t="shared" si="2"/>
        <v>0</v>
      </c>
      <c r="J19" s="24"/>
      <c r="K19" s="25"/>
      <c r="L19" s="25"/>
      <c r="M19" s="79"/>
      <c r="N19" s="79"/>
      <c r="O19" s="79"/>
    </row>
    <row r="20" spans="1:15" s="80" customFormat="1" x14ac:dyDescent="0.25">
      <c r="A20" s="59">
        <v>45907</v>
      </c>
      <c r="B20" s="71"/>
      <c r="C20" s="72"/>
      <c r="D20" s="62">
        <f t="shared" si="0"/>
        <v>0</v>
      </c>
      <c r="E20" s="73"/>
      <c r="F20" s="74"/>
      <c r="G20" s="75"/>
      <c r="H20" s="76">
        <f t="shared" si="1"/>
        <v>0</v>
      </c>
      <c r="I20" s="77">
        <f t="shared" si="2"/>
        <v>0</v>
      </c>
      <c r="J20" s="78"/>
      <c r="K20" s="79"/>
      <c r="L20" s="79"/>
      <c r="M20" s="79"/>
      <c r="N20" s="79"/>
      <c r="O20" s="79"/>
    </row>
    <row r="21" spans="1:15" x14ac:dyDescent="0.25">
      <c r="A21" s="59">
        <v>45908</v>
      </c>
      <c r="B21" s="60"/>
      <c r="C21" s="61"/>
      <c r="D21" s="62">
        <f t="shared" si="0"/>
        <v>0</v>
      </c>
      <c r="E21" s="63"/>
      <c r="F21" s="64"/>
      <c r="G21" s="65"/>
      <c r="H21" s="66">
        <f t="shared" si="1"/>
        <v>0</v>
      </c>
      <c r="I21" s="67">
        <f t="shared" si="2"/>
        <v>0</v>
      </c>
      <c r="J21" s="33"/>
      <c r="K21" s="34"/>
      <c r="L21" s="34"/>
      <c r="M21" s="70"/>
      <c r="N21" s="70"/>
      <c r="O21" s="70"/>
    </row>
    <row r="22" spans="1:15" x14ac:dyDescent="0.25">
      <c r="A22" s="59">
        <v>45909</v>
      </c>
      <c r="B22" s="60"/>
      <c r="C22" s="61"/>
      <c r="D22" s="62">
        <f t="shared" si="0"/>
        <v>0</v>
      </c>
      <c r="E22" s="63"/>
      <c r="F22" s="64"/>
      <c r="G22" s="65"/>
      <c r="H22" s="66">
        <f t="shared" si="1"/>
        <v>0</v>
      </c>
      <c r="I22" s="67">
        <f t="shared" si="2"/>
        <v>0</v>
      </c>
      <c r="J22" s="33"/>
      <c r="K22" s="34"/>
      <c r="L22" s="34"/>
      <c r="M22" s="86"/>
      <c r="N22" s="70"/>
      <c r="O22" s="70"/>
    </row>
    <row r="23" spans="1:15" x14ac:dyDescent="0.25">
      <c r="A23" s="59">
        <v>45910</v>
      </c>
      <c r="B23" s="60"/>
      <c r="C23" s="61"/>
      <c r="D23" s="62">
        <f t="shared" si="0"/>
        <v>0</v>
      </c>
      <c r="E23" s="63"/>
      <c r="F23" s="64"/>
      <c r="G23" s="65"/>
      <c r="H23" s="66">
        <f t="shared" si="1"/>
        <v>0</v>
      </c>
      <c r="I23" s="67">
        <f t="shared" si="2"/>
        <v>0</v>
      </c>
      <c r="J23" s="33"/>
      <c r="K23" s="34"/>
      <c r="L23" s="34"/>
      <c r="M23" s="70"/>
      <c r="N23" s="70"/>
      <c r="O23" s="70"/>
    </row>
    <row r="24" spans="1:15" x14ac:dyDescent="0.25">
      <c r="A24" s="59">
        <v>45911</v>
      </c>
      <c r="B24" s="60"/>
      <c r="C24" s="61"/>
      <c r="D24" s="62">
        <f t="shared" si="0"/>
        <v>0</v>
      </c>
      <c r="E24" s="63"/>
      <c r="F24" s="64"/>
      <c r="G24" s="65"/>
      <c r="H24" s="66">
        <f t="shared" si="1"/>
        <v>0</v>
      </c>
      <c r="I24" s="67">
        <f t="shared" si="2"/>
        <v>0</v>
      </c>
      <c r="J24" s="68"/>
      <c r="K24" s="69"/>
      <c r="L24" s="69"/>
      <c r="M24" s="70"/>
      <c r="N24" s="70"/>
      <c r="O24" s="70"/>
    </row>
    <row r="25" spans="1:15" x14ac:dyDescent="0.25">
      <c r="A25" s="59">
        <v>45912</v>
      </c>
      <c r="B25" s="60"/>
      <c r="C25" s="61"/>
      <c r="D25" s="62">
        <f t="shared" si="0"/>
        <v>0</v>
      </c>
      <c r="E25" s="63"/>
      <c r="F25" s="64"/>
      <c r="G25" s="65"/>
      <c r="H25" s="66">
        <f t="shared" si="1"/>
        <v>0</v>
      </c>
      <c r="I25" s="67">
        <f t="shared" si="2"/>
        <v>0</v>
      </c>
      <c r="J25" s="33"/>
      <c r="K25" s="34"/>
      <c r="L25" s="34"/>
      <c r="M25" s="70"/>
      <c r="N25" s="70"/>
      <c r="O25" s="70"/>
    </row>
    <row r="26" spans="1:15" s="80" customFormat="1" x14ac:dyDescent="0.25">
      <c r="A26" s="59">
        <v>45913</v>
      </c>
      <c r="B26" s="71"/>
      <c r="C26" s="72"/>
      <c r="D26" s="62">
        <f t="shared" si="0"/>
        <v>0</v>
      </c>
      <c r="E26" s="73"/>
      <c r="F26" s="74"/>
      <c r="G26" s="75"/>
      <c r="H26" s="76">
        <f t="shared" si="1"/>
        <v>0</v>
      </c>
      <c r="I26" s="77">
        <f t="shared" si="2"/>
        <v>0</v>
      </c>
      <c r="J26" s="24"/>
      <c r="K26" s="25"/>
      <c r="L26" s="25"/>
      <c r="M26" s="79"/>
      <c r="N26" s="79"/>
      <c r="O26" s="79"/>
    </row>
    <row r="27" spans="1:15" s="80" customFormat="1" x14ac:dyDescent="0.25">
      <c r="A27" s="59">
        <v>45914</v>
      </c>
      <c r="B27" s="71"/>
      <c r="C27" s="72"/>
      <c r="D27" s="62">
        <f t="shared" si="0"/>
        <v>0</v>
      </c>
      <c r="E27" s="73"/>
      <c r="F27" s="74"/>
      <c r="G27" s="75"/>
      <c r="H27" s="76">
        <f t="shared" si="1"/>
        <v>0</v>
      </c>
      <c r="I27" s="77">
        <f t="shared" si="2"/>
        <v>0</v>
      </c>
      <c r="J27" s="78"/>
      <c r="K27" s="79"/>
      <c r="L27" s="79"/>
      <c r="M27" s="79"/>
      <c r="N27" s="79"/>
      <c r="O27" s="79"/>
    </row>
    <row r="28" spans="1:15" x14ac:dyDescent="0.25">
      <c r="A28" s="59">
        <v>45915</v>
      </c>
      <c r="B28" s="60"/>
      <c r="C28" s="61"/>
      <c r="D28" s="62">
        <f t="shared" si="0"/>
        <v>0</v>
      </c>
      <c r="E28" s="63"/>
      <c r="F28" s="64"/>
      <c r="G28" s="65"/>
      <c r="H28" s="66">
        <f t="shared" si="1"/>
        <v>0</v>
      </c>
      <c r="I28" s="67">
        <f t="shared" si="2"/>
        <v>0</v>
      </c>
      <c r="J28" s="33"/>
      <c r="K28" s="34"/>
      <c r="L28" s="34"/>
      <c r="M28" s="70"/>
      <c r="N28" s="70"/>
      <c r="O28" s="70"/>
    </row>
    <row r="29" spans="1:15" x14ac:dyDescent="0.25">
      <c r="A29" s="59">
        <v>45916</v>
      </c>
      <c r="B29" s="60"/>
      <c r="C29" s="61"/>
      <c r="D29" s="62">
        <f t="shared" si="0"/>
        <v>0</v>
      </c>
      <c r="E29" s="63"/>
      <c r="F29" s="64"/>
      <c r="G29" s="65"/>
      <c r="H29" s="66">
        <f t="shared" si="1"/>
        <v>0</v>
      </c>
      <c r="I29" s="67">
        <f t="shared" si="2"/>
        <v>0</v>
      </c>
      <c r="J29" s="33"/>
      <c r="K29" s="34"/>
      <c r="L29" s="34"/>
      <c r="M29" s="70"/>
      <c r="N29" s="70"/>
      <c r="O29" s="70"/>
    </row>
    <row r="30" spans="1:15" x14ac:dyDescent="0.25">
      <c r="A30" s="59">
        <v>45917</v>
      </c>
      <c r="B30" s="60"/>
      <c r="C30" s="61"/>
      <c r="D30" s="62">
        <f t="shared" si="0"/>
        <v>0</v>
      </c>
      <c r="E30" s="63"/>
      <c r="F30" s="64"/>
      <c r="G30" s="65"/>
      <c r="H30" s="66">
        <f t="shared" si="1"/>
        <v>0</v>
      </c>
      <c r="I30" s="67">
        <f t="shared" si="2"/>
        <v>0</v>
      </c>
      <c r="J30" s="33"/>
      <c r="K30" s="34"/>
      <c r="L30" s="34"/>
      <c r="M30" s="70"/>
      <c r="N30" s="70"/>
      <c r="O30" s="70"/>
    </row>
    <row r="31" spans="1:15" x14ac:dyDescent="0.25">
      <c r="A31" s="59">
        <v>45918</v>
      </c>
      <c r="B31" s="60"/>
      <c r="C31" s="61"/>
      <c r="D31" s="62">
        <f t="shared" si="0"/>
        <v>0</v>
      </c>
      <c r="E31" s="63"/>
      <c r="F31" s="64"/>
      <c r="G31" s="65"/>
      <c r="H31" s="66">
        <f>D31-E31</f>
        <v>0</v>
      </c>
      <c r="I31" s="67">
        <f t="shared" si="2"/>
        <v>0</v>
      </c>
      <c r="J31" s="33"/>
      <c r="K31" s="34"/>
      <c r="L31" s="34"/>
      <c r="M31" s="70"/>
      <c r="N31" s="70"/>
      <c r="O31" s="70"/>
    </row>
    <row r="32" spans="1:15" x14ac:dyDescent="0.25">
      <c r="A32" s="59">
        <v>45919</v>
      </c>
      <c r="B32" s="60"/>
      <c r="C32" s="61"/>
      <c r="D32" s="62">
        <f t="shared" si="0"/>
        <v>0</v>
      </c>
      <c r="E32" s="63"/>
      <c r="F32" s="64"/>
      <c r="G32" s="65"/>
      <c r="H32" s="66">
        <f t="shared" si="1"/>
        <v>0</v>
      </c>
      <c r="I32" s="67">
        <f t="shared" si="2"/>
        <v>0</v>
      </c>
      <c r="J32" s="33"/>
      <c r="K32" s="34"/>
      <c r="L32" s="34"/>
      <c r="M32" s="86"/>
      <c r="N32" s="70"/>
      <c r="O32" s="70"/>
    </row>
    <row r="33" spans="1:15" s="80" customFormat="1" x14ac:dyDescent="0.25">
      <c r="A33" s="59">
        <v>45920</v>
      </c>
      <c r="B33" s="71"/>
      <c r="C33" s="72"/>
      <c r="D33" s="62">
        <f t="shared" si="0"/>
        <v>0</v>
      </c>
      <c r="E33" s="73"/>
      <c r="F33" s="74"/>
      <c r="G33" s="75"/>
      <c r="H33" s="76">
        <f>D33-E33</f>
        <v>0</v>
      </c>
      <c r="I33" s="77">
        <f t="shared" si="2"/>
        <v>0</v>
      </c>
      <c r="J33" s="24"/>
      <c r="K33" s="25"/>
      <c r="L33" s="25"/>
      <c r="M33" s="79"/>
      <c r="N33" s="79"/>
      <c r="O33" s="79"/>
    </row>
    <row r="34" spans="1:15" s="80" customFormat="1" x14ac:dyDescent="0.25">
      <c r="A34" s="59">
        <v>45921</v>
      </c>
      <c r="B34" s="71"/>
      <c r="C34" s="72"/>
      <c r="D34" s="62">
        <f t="shared" si="0"/>
        <v>0</v>
      </c>
      <c r="E34" s="73"/>
      <c r="F34" s="74"/>
      <c r="G34" s="75"/>
      <c r="H34" s="76">
        <f t="shared" si="1"/>
        <v>0</v>
      </c>
      <c r="I34" s="77">
        <f t="shared" si="2"/>
        <v>0</v>
      </c>
      <c r="J34" s="78"/>
      <c r="K34" s="79"/>
      <c r="L34" s="79"/>
      <c r="M34" s="79"/>
      <c r="N34" s="79"/>
      <c r="O34" s="79"/>
    </row>
    <row r="35" spans="1:15" x14ac:dyDescent="0.25">
      <c r="A35" s="59">
        <v>45922</v>
      </c>
      <c r="B35" s="60"/>
      <c r="C35" s="61"/>
      <c r="D35" s="62">
        <f t="shared" si="0"/>
        <v>0</v>
      </c>
      <c r="E35" s="63"/>
      <c r="F35" s="64"/>
      <c r="G35" s="65"/>
      <c r="H35" s="66">
        <f t="shared" si="1"/>
        <v>0</v>
      </c>
      <c r="I35" s="67">
        <f t="shared" si="2"/>
        <v>0</v>
      </c>
      <c r="J35" s="68"/>
      <c r="K35" s="69"/>
      <c r="L35" s="69"/>
      <c r="M35" s="70"/>
      <c r="N35" s="70"/>
      <c r="O35" s="70"/>
    </row>
    <row r="36" spans="1:15" x14ac:dyDescent="0.25">
      <c r="A36" s="59">
        <v>45923</v>
      </c>
      <c r="B36" s="60"/>
      <c r="C36" s="61"/>
      <c r="D36" s="62">
        <f t="shared" si="0"/>
        <v>0</v>
      </c>
      <c r="E36" s="63"/>
      <c r="F36" s="64"/>
      <c r="G36" s="65"/>
      <c r="H36" s="66">
        <f t="shared" si="1"/>
        <v>0</v>
      </c>
      <c r="I36" s="67">
        <f t="shared" si="2"/>
        <v>0</v>
      </c>
      <c r="J36" s="33"/>
      <c r="K36" s="34"/>
      <c r="L36" s="34"/>
      <c r="M36" s="70"/>
      <c r="N36" s="70"/>
      <c r="O36" s="70"/>
    </row>
    <row r="37" spans="1:15" x14ac:dyDescent="0.25">
      <c r="A37" s="59">
        <v>45924</v>
      </c>
      <c r="B37" s="60"/>
      <c r="C37" s="61"/>
      <c r="D37" s="62">
        <f t="shared" si="0"/>
        <v>0</v>
      </c>
      <c r="E37" s="63"/>
      <c r="F37" s="64"/>
      <c r="G37" s="65"/>
      <c r="H37" s="66">
        <f t="shared" si="1"/>
        <v>0</v>
      </c>
      <c r="I37" s="67">
        <f t="shared" si="2"/>
        <v>0</v>
      </c>
      <c r="J37" s="33"/>
      <c r="K37" s="34"/>
      <c r="L37" s="34"/>
      <c r="M37" s="70"/>
      <c r="N37" s="70"/>
      <c r="O37" s="70"/>
    </row>
    <row r="38" spans="1:15" x14ac:dyDescent="0.25">
      <c r="A38" s="59">
        <v>45925</v>
      </c>
      <c r="B38" s="60"/>
      <c r="C38" s="61"/>
      <c r="D38" s="62">
        <f t="shared" si="0"/>
        <v>0</v>
      </c>
      <c r="E38" s="63"/>
      <c r="F38" s="64"/>
      <c r="G38" s="65"/>
      <c r="H38" s="66">
        <f t="shared" si="1"/>
        <v>0</v>
      </c>
      <c r="I38" s="67">
        <f t="shared" si="2"/>
        <v>0</v>
      </c>
      <c r="J38" s="33"/>
      <c r="K38" s="34"/>
      <c r="L38" s="34"/>
      <c r="M38" s="70"/>
      <c r="N38" s="70"/>
      <c r="O38" s="70"/>
    </row>
    <row r="39" spans="1:15" x14ac:dyDescent="0.25">
      <c r="A39" s="59">
        <v>45926</v>
      </c>
      <c r="B39" s="60"/>
      <c r="C39" s="61"/>
      <c r="D39" s="62">
        <f t="shared" si="0"/>
        <v>0</v>
      </c>
      <c r="E39" s="63"/>
      <c r="F39" s="64"/>
      <c r="G39" s="65"/>
      <c r="H39" s="66">
        <f t="shared" si="1"/>
        <v>0</v>
      </c>
      <c r="I39" s="67">
        <f t="shared" si="2"/>
        <v>0</v>
      </c>
      <c r="J39" s="33"/>
      <c r="K39" s="34"/>
      <c r="L39" s="34"/>
      <c r="M39" s="70"/>
      <c r="N39" s="70"/>
      <c r="O39" s="70"/>
    </row>
    <row r="40" spans="1:15" s="80" customFormat="1" x14ac:dyDescent="0.25">
      <c r="A40" s="59">
        <v>45927</v>
      </c>
      <c r="B40" s="71"/>
      <c r="C40" s="72"/>
      <c r="D40" s="62">
        <f t="shared" si="0"/>
        <v>0</v>
      </c>
      <c r="E40" s="73"/>
      <c r="F40" s="74"/>
      <c r="G40" s="75"/>
      <c r="H40" s="76">
        <f t="shared" si="1"/>
        <v>0</v>
      </c>
      <c r="I40" s="77">
        <f t="shared" si="2"/>
        <v>0</v>
      </c>
      <c r="J40" s="24"/>
      <c r="K40" s="25"/>
      <c r="L40" s="25"/>
      <c r="M40" s="79"/>
      <c r="N40" s="79"/>
      <c r="O40" s="79"/>
    </row>
    <row r="41" spans="1:15" s="80" customFormat="1" x14ac:dyDescent="0.25">
      <c r="A41" s="59">
        <v>45928</v>
      </c>
      <c r="B41" s="71"/>
      <c r="C41" s="72"/>
      <c r="D41" s="62">
        <f t="shared" si="0"/>
        <v>0</v>
      </c>
      <c r="E41" s="73"/>
      <c r="F41" s="74"/>
      <c r="G41" s="75"/>
      <c r="H41" s="76">
        <f t="shared" si="1"/>
        <v>0</v>
      </c>
      <c r="I41" s="77">
        <f t="shared" si="2"/>
        <v>0</v>
      </c>
      <c r="J41" s="78"/>
      <c r="K41" s="79"/>
      <c r="L41" s="79"/>
      <c r="M41" s="79"/>
      <c r="N41" s="79"/>
      <c r="O41" s="79"/>
    </row>
    <row r="42" spans="1:15" x14ac:dyDescent="0.25">
      <c r="A42" s="59">
        <v>45929</v>
      </c>
      <c r="B42" s="60"/>
      <c r="C42" s="61"/>
      <c r="D42" s="62">
        <f t="shared" si="0"/>
        <v>0</v>
      </c>
      <c r="E42" s="63"/>
      <c r="F42" s="64"/>
      <c r="G42" s="65"/>
      <c r="H42" s="66">
        <f t="shared" si="1"/>
        <v>0</v>
      </c>
      <c r="I42" s="67">
        <f t="shared" si="2"/>
        <v>0</v>
      </c>
      <c r="J42" s="33"/>
      <c r="K42" s="34"/>
      <c r="L42" s="34"/>
      <c r="M42" s="70"/>
      <c r="N42" s="70"/>
      <c r="O42" s="70"/>
    </row>
    <row r="43" spans="1:15" x14ac:dyDescent="0.25">
      <c r="A43" s="59">
        <v>45930</v>
      </c>
      <c r="B43" s="60"/>
      <c r="C43" s="61"/>
      <c r="D43" s="62">
        <f t="shared" si="0"/>
        <v>0</v>
      </c>
      <c r="E43" s="63"/>
      <c r="F43" s="64"/>
      <c r="G43" s="65"/>
      <c r="H43" s="66">
        <f t="shared" si="1"/>
        <v>0</v>
      </c>
      <c r="I43" s="67">
        <f t="shared" si="2"/>
        <v>0</v>
      </c>
      <c r="J43" s="33"/>
      <c r="K43" s="34"/>
      <c r="L43" s="34"/>
      <c r="M43" s="70"/>
      <c r="N43" s="70"/>
      <c r="O43" s="70"/>
    </row>
    <row r="44" spans="1:15" ht="18.75" x14ac:dyDescent="0.3">
      <c r="A44" s="60"/>
      <c r="B44" s="81">
        <f t="shared" ref="B44:G44" si="3">SUM(B14:B43)</f>
        <v>0</v>
      </c>
      <c r="C44" s="81">
        <f t="shared" si="3"/>
        <v>0</v>
      </c>
      <c r="D44" s="81">
        <f t="shared" si="3"/>
        <v>0</v>
      </c>
      <c r="E44" s="81">
        <f t="shared" si="3"/>
        <v>0</v>
      </c>
      <c r="F44" s="81">
        <f t="shared" si="3"/>
        <v>0</v>
      </c>
      <c r="G44" s="81">
        <f t="shared" si="3"/>
        <v>0</v>
      </c>
      <c r="H44" s="82"/>
      <c r="I44" s="83"/>
      <c r="J44" s="70"/>
      <c r="K44" s="70"/>
      <c r="L44" s="70"/>
      <c r="M44" s="70"/>
      <c r="N44" s="70"/>
      <c r="O44" s="70"/>
    </row>
    <row r="46" spans="1:15" x14ac:dyDescent="0.25">
      <c r="C46" s="84" t="s">
        <v>19</v>
      </c>
      <c r="D46" s="51">
        <f>B8</f>
        <v>22</v>
      </c>
    </row>
    <row r="47" spans="1:15" x14ac:dyDescent="0.25">
      <c r="C47" s="84" t="s">
        <v>20</v>
      </c>
      <c r="D47" s="85">
        <f>D44/D46</f>
        <v>0</v>
      </c>
    </row>
    <row r="48" spans="1:15" s="48" customFormat="1" x14ac:dyDescent="0.25">
      <c r="A48" s="41"/>
      <c r="B48" s="41"/>
      <c r="C48" s="84" t="s">
        <v>21</v>
      </c>
      <c r="D48" s="85" t="e">
        <f>B44/F44</f>
        <v>#DIV/0!</v>
      </c>
      <c r="F48" s="41"/>
      <c r="G48" s="44"/>
      <c r="H48" s="45"/>
      <c r="I48" s="45"/>
      <c r="J48" s="45"/>
    </row>
  </sheetData>
  <sheetProtection algorithmName="SHA-512" hashValue="ArGoPgzx97k79Qag+F5irU0l093aJjiR9OtslKSH8oBLwEXQDZzG51dHsiEGF85eAPM1epuadQtJR52a/pk3RQ==" saltValue="OCzstZRwjK29eikIiqUZ4Q==" spinCount="100000" sheet="1" objects="1" scenarios="1"/>
  <protectedRanges>
    <protectedRange sqref="J14:O43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9"/>
  <sheetViews>
    <sheetView topLeftCell="A31" zoomScale="115" zoomScaleNormal="115" workbookViewId="0">
      <selection activeCell="F44" sqref="F44"/>
    </sheetView>
  </sheetViews>
  <sheetFormatPr defaultColWidth="8.85546875" defaultRowHeight="15.75" x14ac:dyDescent="0.25"/>
  <cols>
    <col min="1" max="1" width="13.7109375" style="2" bestFit="1" customWidth="1"/>
    <col min="2" max="2" width="15.7109375" style="2" customWidth="1"/>
    <col min="3" max="3" width="12" style="2" bestFit="1" customWidth="1"/>
    <col min="4" max="4" width="14.85546875" style="2" bestFit="1" customWidth="1"/>
    <col min="5" max="5" width="16.5703125" style="7" bestFit="1" customWidth="1"/>
    <col min="6" max="6" width="13.28515625" style="2" customWidth="1"/>
    <col min="7" max="7" width="13.5703125" style="5" bestFit="1" customWidth="1"/>
    <col min="8" max="8" width="11.5703125" bestFit="1" customWidth="1"/>
    <col min="9" max="9" width="17.7109375" customWidth="1"/>
    <col min="10" max="10" width="12.7109375" bestFit="1" customWidth="1"/>
    <col min="11" max="11" width="14.28515625" bestFit="1" customWidth="1"/>
    <col min="13" max="13" width="12.7109375" bestFit="1" customWidth="1"/>
    <col min="14" max="14" width="9.28515625" bestFit="1" customWidth="1"/>
  </cols>
  <sheetData>
    <row r="2" spans="1:15" ht="18.75" x14ac:dyDescent="0.3">
      <c r="A2" s="1" t="s">
        <v>0</v>
      </c>
      <c r="D2" s="3" t="s">
        <v>1</v>
      </c>
      <c r="E2" s="4" t="s">
        <v>2</v>
      </c>
      <c r="F2" s="3"/>
      <c r="G2" s="5" t="s">
        <v>3</v>
      </c>
      <c r="I2" s="6" t="s">
        <v>4</v>
      </c>
    </row>
    <row r="3" spans="1:15" ht="18.75" x14ac:dyDescent="0.3">
      <c r="A3" s="47">
        <f>Сентябрь25!I3</f>
        <v>0</v>
      </c>
      <c r="B3" s="7"/>
      <c r="C3" s="7"/>
      <c r="D3" s="4">
        <f>D45</f>
        <v>312735</v>
      </c>
      <c r="E3" s="4">
        <f>E45</f>
        <v>300324</v>
      </c>
      <c r="F3" s="4"/>
      <c r="G3" s="4">
        <f>G45</f>
        <v>8500</v>
      </c>
      <c r="I3" s="49">
        <f>I44</f>
        <v>3911</v>
      </c>
    </row>
    <row r="5" spans="1:15" x14ac:dyDescent="0.25">
      <c r="A5" s="2" t="s">
        <v>5</v>
      </c>
    </row>
    <row r="7" spans="1:15" ht="21" x14ac:dyDescent="0.35">
      <c r="A7" s="2">
        <v>2025</v>
      </c>
      <c r="B7" s="8" t="s">
        <v>23</v>
      </c>
    </row>
    <row r="8" spans="1:15" x14ac:dyDescent="0.25">
      <c r="A8" s="2" t="s">
        <v>6</v>
      </c>
      <c r="B8" s="9">
        <f>NETWORKDAYS(A14,A44)</f>
        <v>23</v>
      </c>
    </row>
    <row r="10" spans="1:15" ht="18.75" x14ac:dyDescent="0.3">
      <c r="A10" s="10" t="s">
        <v>7</v>
      </c>
      <c r="B10" s="89" t="str">
        <f>Сентябрь25!B10</f>
        <v>Смола</v>
      </c>
      <c r="C10" s="90"/>
      <c r="D10" s="90"/>
    </row>
    <row r="12" spans="1:15" ht="47.25" x14ac:dyDescent="0.25">
      <c r="A12" s="11" t="s">
        <v>8</v>
      </c>
      <c r="B12" s="11" t="s">
        <v>1</v>
      </c>
      <c r="C12" s="11" t="s">
        <v>9</v>
      </c>
      <c r="D12" s="11" t="s">
        <v>10</v>
      </c>
      <c r="E12" s="12" t="s">
        <v>11</v>
      </c>
      <c r="F12" s="11" t="s">
        <v>12</v>
      </c>
      <c r="G12" s="11" t="s">
        <v>3</v>
      </c>
      <c r="H12" s="11" t="s">
        <v>13</v>
      </c>
      <c r="I12" s="11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16</v>
      </c>
      <c r="O12" s="13" t="s">
        <v>17</v>
      </c>
    </row>
    <row r="13" spans="1:15" x14ac:dyDescent="0.25">
      <c r="A13" s="11"/>
      <c r="B13" s="11"/>
      <c r="C13" s="11"/>
      <c r="D13" s="11"/>
      <c r="E13" s="12"/>
      <c r="F13" s="11"/>
      <c r="G13" s="11"/>
      <c r="H13" s="14"/>
      <c r="I13" s="57">
        <f>A3</f>
        <v>0</v>
      </c>
      <c r="J13" s="15"/>
      <c r="K13" s="15"/>
      <c r="L13" s="15"/>
      <c r="M13" s="15"/>
      <c r="N13" s="15"/>
      <c r="O13" s="15"/>
    </row>
    <row r="14" spans="1:15" x14ac:dyDescent="0.25">
      <c r="A14" s="16">
        <v>45931</v>
      </c>
      <c r="B14" s="27"/>
      <c r="C14" s="28"/>
      <c r="D14" s="19">
        <f t="shared" ref="D14:D44" si="0">B14-C14</f>
        <v>0</v>
      </c>
      <c r="E14" s="29"/>
      <c r="F14" s="30"/>
      <c r="G14" s="31"/>
      <c r="H14" s="32">
        <f t="shared" ref="H14:H44" si="1">D14-E14</f>
        <v>0</v>
      </c>
      <c r="I14" s="67">
        <f t="shared" ref="I14:I44" si="2">I13+H14-G14</f>
        <v>0</v>
      </c>
      <c r="J14" s="33"/>
      <c r="K14" s="34"/>
      <c r="L14" s="34"/>
      <c r="M14" s="35"/>
      <c r="N14" s="35"/>
      <c r="O14" s="35"/>
    </row>
    <row r="15" spans="1:15" x14ac:dyDescent="0.25">
      <c r="A15" s="16">
        <v>45932</v>
      </c>
      <c r="B15" s="27"/>
      <c r="C15" s="28"/>
      <c r="D15" s="19">
        <f t="shared" si="0"/>
        <v>0</v>
      </c>
      <c r="E15" s="29"/>
      <c r="F15" s="30"/>
      <c r="G15" s="31"/>
      <c r="H15" s="32">
        <f t="shared" si="1"/>
        <v>0</v>
      </c>
      <c r="I15" s="67">
        <f t="shared" si="2"/>
        <v>0</v>
      </c>
      <c r="J15" s="33"/>
      <c r="K15" s="34"/>
      <c r="L15" s="34"/>
      <c r="M15" s="35"/>
      <c r="N15" s="35"/>
      <c r="O15" s="35"/>
    </row>
    <row r="16" spans="1:15" x14ac:dyDescent="0.25">
      <c r="A16" s="16">
        <v>45933</v>
      </c>
      <c r="B16" s="27"/>
      <c r="C16" s="28"/>
      <c r="D16" s="19">
        <f t="shared" si="0"/>
        <v>0</v>
      </c>
      <c r="E16" s="29"/>
      <c r="F16" s="30"/>
      <c r="G16" s="31"/>
      <c r="H16" s="32">
        <f t="shared" si="1"/>
        <v>0</v>
      </c>
      <c r="I16" s="67">
        <f t="shared" si="2"/>
        <v>0</v>
      </c>
      <c r="J16" s="33" t="s">
        <v>29</v>
      </c>
      <c r="K16" s="34"/>
      <c r="L16" s="34"/>
      <c r="M16" s="35"/>
      <c r="N16" s="35"/>
      <c r="O16" s="35"/>
    </row>
    <row r="17" spans="1:15" s="26" customFormat="1" x14ac:dyDescent="0.25">
      <c r="A17" s="16">
        <v>45934</v>
      </c>
      <c r="B17" s="17"/>
      <c r="C17" s="18"/>
      <c r="D17" s="19">
        <f t="shared" si="0"/>
        <v>0</v>
      </c>
      <c r="E17" s="20"/>
      <c r="F17" s="21"/>
      <c r="G17" s="22"/>
      <c r="H17" s="23">
        <f t="shared" si="1"/>
        <v>0</v>
      </c>
      <c r="I17" s="77">
        <f t="shared" si="2"/>
        <v>0</v>
      </c>
      <c r="J17" s="24"/>
      <c r="K17" s="25"/>
      <c r="L17" s="25"/>
      <c r="M17" s="25"/>
      <c r="N17" s="25"/>
      <c r="O17" s="25"/>
    </row>
    <row r="18" spans="1:15" s="26" customFormat="1" x14ac:dyDescent="0.25">
      <c r="A18" s="16">
        <v>45935</v>
      </c>
      <c r="B18" s="17"/>
      <c r="C18" s="18"/>
      <c r="D18" s="19">
        <f t="shared" si="0"/>
        <v>0</v>
      </c>
      <c r="E18" s="20"/>
      <c r="F18" s="21"/>
      <c r="G18" s="22"/>
      <c r="H18" s="23">
        <f t="shared" si="1"/>
        <v>0</v>
      </c>
      <c r="I18" s="77">
        <f t="shared" si="2"/>
        <v>0</v>
      </c>
      <c r="J18" s="24"/>
      <c r="K18" s="25"/>
      <c r="L18" s="25"/>
      <c r="M18" s="25"/>
      <c r="N18" s="25"/>
      <c r="O18" s="25"/>
    </row>
    <row r="19" spans="1:15" x14ac:dyDescent="0.25">
      <c r="A19" s="16">
        <v>45936</v>
      </c>
      <c r="B19" s="27"/>
      <c r="C19" s="28"/>
      <c r="D19" s="19">
        <f t="shared" si="0"/>
        <v>0</v>
      </c>
      <c r="E19" s="29"/>
      <c r="F19" s="30"/>
      <c r="G19" s="31"/>
      <c r="H19" s="32">
        <f t="shared" si="1"/>
        <v>0</v>
      </c>
      <c r="I19" s="67">
        <f t="shared" si="2"/>
        <v>0</v>
      </c>
      <c r="J19" s="33" t="s">
        <v>30</v>
      </c>
      <c r="K19" s="34"/>
      <c r="L19" s="34"/>
      <c r="M19" s="35"/>
      <c r="N19" s="35"/>
      <c r="O19" s="35"/>
    </row>
    <row r="20" spans="1:15" x14ac:dyDescent="0.25">
      <c r="A20" s="16">
        <v>45937</v>
      </c>
      <c r="B20" s="27">
        <v>12533</v>
      </c>
      <c r="C20" s="28"/>
      <c r="D20" s="19">
        <f t="shared" si="0"/>
        <v>12533</v>
      </c>
      <c r="E20" s="29">
        <v>12440</v>
      </c>
      <c r="F20" s="30">
        <v>70</v>
      </c>
      <c r="G20" s="31"/>
      <c r="H20" s="32">
        <f t="shared" si="1"/>
        <v>93</v>
      </c>
      <c r="I20" s="67">
        <f t="shared" si="2"/>
        <v>93</v>
      </c>
      <c r="J20" s="33" t="s">
        <v>25</v>
      </c>
      <c r="K20" s="34">
        <v>0.33333333333333331</v>
      </c>
      <c r="L20" s="34">
        <v>0.79166666666666663</v>
      </c>
      <c r="M20" s="35" t="s">
        <v>26</v>
      </c>
      <c r="N20" s="35" t="s">
        <v>27</v>
      </c>
      <c r="O20" s="35" t="s">
        <v>28</v>
      </c>
    </row>
    <row r="21" spans="1:15" x14ac:dyDescent="0.25">
      <c r="A21" s="16">
        <v>45938</v>
      </c>
      <c r="B21" s="27">
        <v>13418</v>
      </c>
      <c r="C21" s="28"/>
      <c r="D21" s="19">
        <f t="shared" si="0"/>
        <v>13418</v>
      </c>
      <c r="E21" s="29">
        <v>13418</v>
      </c>
      <c r="F21" s="30">
        <v>86</v>
      </c>
      <c r="G21" s="31"/>
      <c r="H21" s="32">
        <f t="shared" si="1"/>
        <v>0</v>
      </c>
      <c r="I21" s="67">
        <f t="shared" si="2"/>
        <v>93</v>
      </c>
      <c r="J21" s="33" t="s">
        <v>25</v>
      </c>
      <c r="K21" s="34">
        <v>0.33333333333333331</v>
      </c>
      <c r="L21" s="34">
        <v>0.79166666666666663</v>
      </c>
      <c r="M21" s="35" t="s">
        <v>26</v>
      </c>
      <c r="N21" s="35" t="s">
        <v>27</v>
      </c>
      <c r="O21" s="35" t="s">
        <v>28</v>
      </c>
    </row>
    <row r="22" spans="1:15" x14ac:dyDescent="0.25">
      <c r="A22" s="16">
        <v>45939</v>
      </c>
      <c r="B22" s="27">
        <v>15721</v>
      </c>
      <c r="C22" s="28"/>
      <c r="D22" s="19">
        <f t="shared" si="0"/>
        <v>15721</v>
      </c>
      <c r="E22" s="29">
        <v>15244</v>
      </c>
      <c r="F22" s="30">
        <v>76</v>
      </c>
      <c r="G22" s="31"/>
      <c r="H22" s="32">
        <f t="shared" si="1"/>
        <v>477</v>
      </c>
      <c r="I22" s="67">
        <f t="shared" si="2"/>
        <v>570</v>
      </c>
      <c r="J22" s="33" t="s">
        <v>26</v>
      </c>
      <c r="K22" s="34">
        <v>0.33333333333333331</v>
      </c>
      <c r="L22" s="34">
        <v>0.79166666666666663</v>
      </c>
      <c r="M22" s="35"/>
      <c r="N22" s="35"/>
      <c r="O22" s="35"/>
    </row>
    <row r="23" spans="1:15" x14ac:dyDescent="0.25">
      <c r="A23" s="16">
        <v>45940</v>
      </c>
      <c r="B23" s="27">
        <v>17586</v>
      </c>
      <c r="C23" s="28"/>
      <c r="D23" s="19">
        <f t="shared" si="0"/>
        <v>17586</v>
      </c>
      <c r="E23" s="29">
        <v>17298</v>
      </c>
      <c r="F23" s="30">
        <v>75</v>
      </c>
      <c r="G23" s="31">
        <v>500</v>
      </c>
      <c r="H23" s="32">
        <f t="shared" si="1"/>
        <v>288</v>
      </c>
      <c r="I23" s="67">
        <f t="shared" si="2"/>
        <v>358</v>
      </c>
      <c r="J23" s="33" t="s">
        <v>26</v>
      </c>
      <c r="K23" s="34">
        <v>0.33333333333333331</v>
      </c>
      <c r="L23" s="34">
        <v>0.79166666666666663</v>
      </c>
      <c r="M23" s="35"/>
      <c r="N23" s="35"/>
      <c r="O23" s="35"/>
    </row>
    <row r="24" spans="1:15" s="26" customFormat="1" x14ac:dyDescent="0.25">
      <c r="A24" s="16">
        <v>45941</v>
      </c>
      <c r="B24" s="17"/>
      <c r="C24" s="18"/>
      <c r="D24" s="19">
        <f t="shared" si="0"/>
        <v>0</v>
      </c>
      <c r="E24" s="20"/>
      <c r="F24" s="21"/>
      <c r="G24" s="22"/>
      <c r="H24" s="23">
        <f t="shared" si="1"/>
        <v>0</v>
      </c>
      <c r="I24" s="77">
        <f t="shared" si="2"/>
        <v>358</v>
      </c>
      <c r="J24" s="24"/>
      <c r="K24" s="25"/>
      <c r="L24" s="25"/>
      <c r="M24" s="25"/>
      <c r="N24" s="25"/>
      <c r="O24" s="25"/>
    </row>
    <row r="25" spans="1:15" s="26" customFormat="1" x14ac:dyDescent="0.25">
      <c r="A25" s="16">
        <v>45942</v>
      </c>
      <c r="B25" s="17"/>
      <c r="C25" s="18"/>
      <c r="D25" s="19">
        <f t="shared" si="0"/>
        <v>0</v>
      </c>
      <c r="E25" s="20"/>
      <c r="F25" s="21"/>
      <c r="G25" s="22"/>
      <c r="H25" s="23">
        <f t="shared" si="1"/>
        <v>0</v>
      </c>
      <c r="I25" s="77">
        <f t="shared" si="2"/>
        <v>358</v>
      </c>
      <c r="J25" s="24"/>
      <c r="K25" s="25"/>
      <c r="L25" s="25"/>
      <c r="M25" s="25"/>
      <c r="N25" s="25"/>
      <c r="O25" s="25"/>
    </row>
    <row r="26" spans="1:15" x14ac:dyDescent="0.25">
      <c r="A26" s="16">
        <v>45943</v>
      </c>
      <c r="B26" s="27">
        <v>15585</v>
      </c>
      <c r="C26" s="28"/>
      <c r="D26" s="19">
        <f t="shared" si="0"/>
        <v>15585</v>
      </c>
      <c r="E26" s="29">
        <v>15005</v>
      </c>
      <c r="F26" s="30">
        <v>68</v>
      </c>
      <c r="G26" s="31"/>
      <c r="H26" s="32">
        <f t="shared" si="1"/>
        <v>580</v>
      </c>
      <c r="I26" s="67">
        <f t="shared" si="2"/>
        <v>938</v>
      </c>
      <c r="J26" s="33" t="s">
        <v>26</v>
      </c>
      <c r="K26" s="34">
        <v>0.33333333333333331</v>
      </c>
      <c r="L26" s="34">
        <v>0.79166666666666663</v>
      </c>
      <c r="M26" s="35"/>
      <c r="N26" s="35"/>
      <c r="O26" s="35"/>
    </row>
    <row r="27" spans="1:15" x14ac:dyDescent="0.25">
      <c r="A27" s="16">
        <v>45944</v>
      </c>
      <c r="B27" s="27">
        <v>18747</v>
      </c>
      <c r="C27" s="28"/>
      <c r="D27" s="19">
        <f t="shared" si="0"/>
        <v>18747</v>
      </c>
      <c r="E27" s="29">
        <v>17142</v>
      </c>
      <c r="F27" s="30">
        <v>82</v>
      </c>
      <c r="G27" s="31"/>
      <c r="H27" s="32">
        <f t="shared" si="1"/>
        <v>1605</v>
      </c>
      <c r="I27" s="67">
        <f t="shared" si="2"/>
        <v>2543</v>
      </c>
      <c r="J27" s="33" t="s">
        <v>26</v>
      </c>
      <c r="K27" s="34">
        <v>0.33333333333333331</v>
      </c>
      <c r="L27" s="34">
        <v>0.79166666666666663</v>
      </c>
      <c r="M27" s="35"/>
      <c r="N27" s="35"/>
      <c r="O27" s="35"/>
    </row>
    <row r="28" spans="1:15" x14ac:dyDescent="0.25">
      <c r="A28" s="16">
        <v>45945</v>
      </c>
      <c r="B28" s="27">
        <v>16341</v>
      </c>
      <c r="C28" s="28"/>
      <c r="D28" s="19">
        <f t="shared" si="0"/>
        <v>16341</v>
      </c>
      <c r="E28" s="29">
        <v>15613</v>
      </c>
      <c r="F28" s="30">
        <v>83</v>
      </c>
      <c r="G28" s="31"/>
      <c r="H28" s="32">
        <f t="shared" si="1"/>
        <v>728</v>
      </c>
      <c r="I28" s="67">
        <f t="shared" si="2"/>
        <v>3271</v>
      </c>
      <c r="J28" s="33" t="s">
        <v>26</v>
      </c>
      <c r="K28" s="34">
        <v>0.33333333333333331</v>
      </c>
      <c r="L28" s="34">
        <v>0.79166666666666663</v>
      </c>
      <c r="M28" s="35"/>
      <c r="N28" s="35"/>
      <c r="O28" s="35"/>
    </row>
    <row r="29" spans="1:15" x14ac:dyDescent="0.25">
      <c r="A29" s="16">
        <v>45946</v>
      </c>
      <c r="B29" s="27">
        <v>16315</v>
      </c>
      <c r="C29" s="28"/>
      <c r="D29" s="19">
        <f t="shared" si="0"/>
        <v>16315</v>
      </c>
      <c r="E29" s="29">
        <v>15386</v>
      </c>
      <c r="F29" s="30">
        <v>81</v>
      </c>
      <c r="G29" s="31"/>
      <c r="H29" s="32">
        <f t="shared" si="1"/>
        <v>929</v>
      </c>
      <c r="I29" s="67">
        <f t="shared" si="2"/>
        <v>4200</v>
      </c>
      <c r="J29" s="33" t="s">
        <v>26</v>
      </c>
      <c r="K29" s="34">
        <v>0.33333333333333331</v>
      </c>
      <c r="L29" s="34">
        <v>0.79166666666666663</v>
      </c>
      <c r="M29" s="35"/>
      <c r="N29" s="35"/>
      <c r="O29" s="35"/>
    </row>
    <row r="30" spans="1:15" x14ac:dyDescent="0.25">
      <c r="A30" s="16">
        <v>45947</v>
      </c>
      <c r="B30" s="27">
        <v>14418</v>
      </c>
      <c r="C30" s="28"/>
      <c r="D30" s="19">
        <f t="shared" si="0"/>
        <v>14418</v>
      </c>
      <c r="E30" s="29">
        <v>13045</v>
      </c>
      <c r="F30" s="30">
        <v>71</v>
      </c>
      <c r="G30" s="31"/>
      <c r="H30" s="32">
        <f t="shared" si="1"/>
        <v>1373</v>
      </c>
      <c r="I30" s="67">
        <f t="shared" si="2"/>
        <v>5573</v>
      </c>
      <c r="J30" s="33" t="s">
        <v>26</v>
      </c>
      <c r="K30" s="34">
        <v>0.33333333333333331</v>
      </c>
      <c r="L30" s="34">
        <v>0.79166666666666663</v>
      </c>
      <c r="M30" s="35"/>
      <c r="N30" s="35"/>
      <c r="O30" s="35"/>
    </row>
    <row r="31" spans="1:15" s="26" customFormat="1" x14ac:dyDescent="0.25">
      <c r="A31" s="16">
        <v>45948</v>
      </c>
      <c r="B31" s="17"/>
      <c r="C31" s="18"/>
      <c r="D31" s="19">
        <f t="shared" si="0"/>
        <v>0</v>
      </c>
      <c r="E31" s="20"/>
      <c r="F31" s="21"/>
      <c r="G31" s="22"/>
      <c r="H31" s="23">
        <f t="shared" si="1"/>
        <v>0</v>
      </c>
      <c r="I31" s="77">
        <f t="shared" si="2"/>
        <v>5573</v>
      </c>
      <c r="J31" s="24"/>
      <c r="K31" s="25"/>
      <c r="L31" s="25"/>
      <c r="M31" s="25"/>
      <c r="N31" s="25"/>
      <c r="O31" s="25"/>
    </row>
    <row r="32" spans="1:15" s="26" customFormat="1" x14ac:dyDescent="0.25">
      <c r="A32" s="16">
        <v>45949</v>
      </c>
      <c r="B32" s="17"/>
      <c r="C32" s="18"/>
      <c r="D32" s="19">
        <f t="shared" si="0"/>
        <v>0</v>
      </c>
      <c r="E32" s="20"/>
      <c r="F32" s="21"/>
      <c r="G32" s="22"/>
      <c r="H32" s="23">
        <f t="shared" si="1"/>
        <v>0</v>
      </c>
      <c r="I32" s="77">
        <f t="shared" si="2"/>
        <v>5573</v>
      </c>
      <c r="J32" s="24"/>
      <c r="K32" s="25"/>
      <c r="L32" s="25"/>
      <c r="M32" s="25"/>
      <c r="N32" s="25"/>
      <c r="O32" s="25"/>
    </row>
    <row r="33" spans="1:15" x14ac:dyDescent="0.25">
      <c r="A33" s="16">
        <v>45950</v>
      </c>
      <c r="B33" s="27">
        <v>14436</v>
      </c>
      <c r="C33" s="28"/>
      <c r="D33" s="19">
        <f t="shared" si="0"/>
        <v>14436</v>
      </c>
      <c r="E33" s="29">
        <v>13282</v>
      </c>
      <c r="F33" s="30">
        <v>64</v>
      </c>
      <c r="G33" s="31"/>
      <c r="H33" s="32">
        <f t="shared" si="1"/>
        <v>1154</v>
      </c>
      <c r="I33" s="67">
        <f t="shared" si="2"/>
        <v>6727</v>
      </c>
      <c r="J33" s="33" t="s">
        <v>26</v>
      </c>
      <c r="K33" s="34">
        <v>0.33333333333333331</v>
      </c>
      <c r="L33" s="34">
        <v>0.79166666666666663</v>
      </c>
      <c r="M33" s="35"/>
      <c r="N33" s="35"/>
      <c r="O33" s="35"/>
    </row>
    <row r="34" spans="1:15" x14ac:dyDescent="0.25">
      <c r="A34" s="16">
        <v>45951</v>
      </c>
      <c r="B34" s="27">
        <v>14929</v>
      </c>
      <c r="C34" s="28"/>
      <c r="D34" s="19">
        <f t="shared" si="0"/>
        <v>14929</v>
      </c>
      <c r="E34" s="29">
        <v>13856</v>
      </c>
      <c r="F34" s="30">
        <v>71</v>
      </c>
      <c r="G34" s="31"/>
      <c r="H34" s="32">
        <f t="shared" si="1"/>
        <v>1073</v>
      </c>
      <c r="I34" s="67">
        <f t="shared" si="2"/>
        <v>7800</v>
      </c>
      <c r="J34" s="33" t="s">
        <v>26</v>
      </c>
      <c r="K34" s="34">
        <v>0.33333333333333331</v>
      </c>
      <c r="L34" s="34">
        <v>0.79166666666666663</v>
      </c>
      <c r="M34" s="35"/>
      <c r="N34" s="35"/>
      <c r="O34" s="35"/>
    </row>
    <row r="35" spans="1:15" x14ac:dyDescent="0.25">
      <c r="A35" s="16">
        <v>45952</v>
      </c>
      <c r="B35" s="27">
        <v>14994</v>
      </c>
      <c r="C35" s="28"/>
      <c r="D35" s="19">
        <f t="shared" si="0"/>
        <v>14994</v>
      </c>
      <c r="E35" s="29">
        <v>14709</v>
      </c>
      <c r="F35" s="30">
        <v>89</v>
      </c>
      <c r="G35" s="31"/>
      <c r="H35" s="32">
        <f t="shared" si="1"/>
        <v>285</v>
      </c>
      <c r="I35" s="67">
        <f t="shared" si="2"/>
        <v>8085</v>
      </c>
      <c r="J35" s="33" t="s">
        <v>26</v>
      </c>
      <c r="K35" s="34">
        <v>0.33333333333333331</v>
      </c>
      <c r="L35" s="34">
        <v>0.79166666666666663</v>
      </c>
      <c r="M35" s="35"/>
      <c r="N35" s="35"/>
      <c r="O35" s="35"/>
    </row>
    <row r="36" spans="1:15" x14ac:dyDescent="0.25">
      <c r="A36" s="16">
        <v>45953</v>
      </c>
      <c r="B36" s="27">
        <v>17062</v>
      </c>
      <c r="C36" s="28"/>
      <c r="D36" s="19">
        <f t="shared" si="0"/>
        <v>17062</v>
      </c>
      <c r="E36" s="29">
        <v>16396</v>
      </c>
      <c r="F36" s="30">
        <v>81</v>
      </c>
      <c r="G36" s="31"/>
      <c r="H36" s="32">
        <f t="shared" si="1"/>
        <v>666</v>
      </c>
      <c r="I36" s="67">
        <f t="shared" si="2"/>
        <v>8751</v>
      </c>
      <c r="J36" s="33" t="s">
        <v>26</v>
      </c>
      <c r="K36" s="34">
        <v>0.33333333333333331</v>
      </c>
      <c r="L36" s="34">
        <v>0.79166666666666663</v>
      </c>
      <c r="M36" s="35"/>
      <c r="N36" s="35"/>
      <c r="O36" s="35"/>
    </row>
    <row r="37" spans="1:15" x14ac:dyDescent="0.25">
      <c r="A37" s="16">
        <v>45954</v>
      </c>
      <c r="B37" s="27">
        <v>16742</v>
      </c>
      <c r="C37" s="28"/>
      <c r="D37" s="19">
        <f t="shared" si="0"/>
        <v>16742</v>
      </c>
      <c r="E37" s="29">
        <v>15748</v>
      </c>
      <c r="F37" s="30">
        <v>84</v>
      </c>
      <c r="G37" s="31"/>
      <c r="H37" s="32">
        <f t="shared" si="1"/>
        <v>994</v>
      </c>
      <c r="I37" s="67">
        <f t="shared" si="2"/>
        <v>9745</v>
      </c>
      <c r="J37" s="33" t="s">
        <v>26</v>
      </c>
      <c r="K37" s="34">
        <v>0.33333333333333331</v>
      </c>
      <c r="L37" s="34">
        <v>0.79166666666666663</v>
      </c>
      <c r="M37" s="35"/>
      <c r="N37" s="35"/>
      <c r="O37" s="35"/>
    </row>
    <row r="38" spans="1:15" s="26" customFormat="1" x14ac:dyDescent="0.25">
      <c r="A38" s="16">
        <v>45955</v>
      </c>
      <c r="B38" s="17"/>
      <c r="C38" s="18"/>
      <c r="D38" s="19">
        <f t="shared" si="0"/>
        <v>0</v>
      </c>
      <c r="E38" s="20"/>
      <c r="F38" s="21"/>
      <c r="G38" s="22"/>
      <c r="H38" s="23">
        <f t="shared" si="1"/>
        <v>0</v>
      </c>
      <c r="I38" s="77">
        <f t="shared" si="2"/>
        <v>9745</v>
      </c>
      <c r="J38" s="24"/>
      <c r="K38" s="25"/>
      <c r="L38" s="25"/>
      <c r="M38" s="25"/>
      <c r="N38" s="25"/>
      <c r="O38" s="25"/>
    </row>
    <row r="39" spans="1:15" s="26" customFormat="1" x14ac:dyDescent="0.25">
      <c r="A39" s="16">
        <v>45956</v>
      </c>
      <c r="B39" s="17"/>
      <c r="C39" s="18"/>
      <c r="D39" s="19">
        <f t="shared" si="0"/>
        <v>0</v>
      </c>
      <c r="E39" s="20"/>
      <c r="F39" s="21"/>
      <c r="G39" s="22"/>
      <c r="H39" s="23">
        <f t="shared" si="1"/>
        <v>0</v>
      </c>
      <c r="I39" s="77">
        <f t="shared" si="2"/>
        <v>9745</v>
      </c>
      <c r="J39" s="24"/>
      <c r="K39" s="25"/>
      <c r="L39" s="25"/>
      <c r="M39" s="25"/>
      <c r="N39" s="25"/>
      <c r="O39" s="25"/>
    </row>
    <row r="40" spans="1:15" x14ac:dyDescent="0.25">
      <c r="A40" s="16">
        <v>45957</v>
      </c>
      <c r="B40" s="27">
        <v>17906</v>
      </c>
      <c r="C40" s="28"/>
      <c r="D40" s="19">
        <f t="shared" si="0"/>
        <v>17906</v>
      </c>
      <c r="E40" s="29">
        <v>17906</v>
      </c>
      <c r="F40" s="30">
        <v>74</v>
      </c>
      <c r="G40" s="31"/>
      <c r="H40" s="32">
        <f t="shared" si="1"/>
        <v>0</v>
      </c>
      <c r="I40" s="67">
        <f t="shared" si="2"/>
        <v>9745</v>
      </c>
      <c r="J40" s="33" t="s">
        <v>26</v>
      </c>
      <c r="K40" s="34">
        <v>0.33333333333333331</v>
      </c>
      <c r="L40" s="34">
        <v>0.79166666666666663</v>
      </c>
      <c r="M40" s="35"/>
      <c r="N40" s="35"/>
      <c r="O40" s="35"/>
    </row>
    <row r="41" spans="1:15" x14ac:dyDescent="0.25">
      <c r="A41" s="16">
        <v>45958</v>
      </c>
      <c r="B41" s="27">
        <v>17147</v>
      </c>
      <c r="C41" s="28"/>
      <c r="D41" s="19">
        <f t="shared" si="0"/>
        <v>17147</v>
      </c>
      <c r="E41" s="29">
        <v>16578</v>
      </c>
      <c r="F41" s="30">
        <v>83</v>
      </c>
      <c r="G41" s="31"/>
      <c r="H41" s="32">
        <f t="shared" si="1"/>
        <v>569</v>
      </c>
      <c r="I41" s="67">
        <f t="shared" si="2"/>
        <v>10314</v>
      </c>
      <c r="J41" s="33" t="s">
        <v>26</v>
      </c>
      <c r="K41" s="34">
        <v>0.33333333333333331</v>
      </c>
      <c r="L41" s="34">
        <v>0.79166666666666663</v>
      </c>
      <c r="M41" s="35"/>
      <c r="N41" s="35"/>
      <c r="O41" s="35"/>
    </row>
    <row r="42" spans="1:15" x14ac:dyDescent="0.25">
      <c r="A42" s="16">
        <v>45959</v>
      </c>
      <c r="B42" s="27">
        <v>19015</v>
      </c>
      <c r="C42" s="28"/>
      <c r="D42" s="19">
        <f t="shared" si="0"/>
        <v>19015</v>
      </c>
      <c r="E42" s="29">
        <v>18314</v>
      </c>
      <c r="F42" s="30">
        <v>91</v>
      </c>
      <c r="G42" s="31"/>
      <c r="H42" s="32">
        <f t="shared" si="1"/>
        <v>701</v>
      </c>
      <c r="I42" s="67">
        <f t="shared" si="2"/>
        <v>11015</v>
      </c>
      <c r="J42" s="33" t="s">
        <v>26</v>
      </c>
      <c r="K42" s="34">
        <v>0.33333333333333331</v>
      </c>
      <c r="L42" s="34">
        <v>0.79166666666666663</v>
      </c>
      <c r="M42" s="35"/>
      <c r="N42" s="35"/>
      <c r="O42" s="35"/>
    </row>
    <row r="43" spans="1:15" x14ac:dyDescent="0.25">
      <c r="A43" s="16">
        <v>45960</v>
      </c>
      <c r="B43" s="27">
        <v>20937</v>
      </c>
      <c r="C43" s="28"/>
      <c r="D43" s="19">
        <f t="shared" si="0"/>
        <v>20937</v>
      </c>
      <c r="E43" s="29">
        <v>20554</v>
      </c>
      <c r="F43" s="30">
        <v>102</v>
      </c>
      <c r="G43" s="31">
        <v>8000</v>
      </c>
      <c r="H43" s="32">
        <f t="shared" si="1"/>
        <v>383</v>
      </c>
      <c r="I43" s="67">
        <f t="shared" si="2"/>
        <v>3398</v>
      </c>
      <c r="J43" s="33" t="s">
        <v>26</v>
      </c>
      <c r="K43" s="34">
        <v>0.33333333333333331</v>
      </c>
      <c r="L43" s="34">
        <v>0.79166666666666663</v>
      </c>
      <c r="M43" s="35"/>
      <c r="N43" s="35"/>
      <c r="O43" s="35"/>
    </row>
    <row r="44" spans="1:15" x14ac:dyDescent="0.25">
      <c r="A44" s="16">
        <v>45961</v>
      </c>
      <c r="B44" s="27">
        <v>18903</v>
      </c>
      <c r="C44" s="28"/>
      <c r="D44" s="19">
        <f t="shared" si="0"/>
        <v>18903</v>
      </c>
      <c r="E44" s="29">
        <v>18390</v>
      </c>
      <c r="F44" s="30">
        <v>94</v>
      </c>
      <c r="G44" s="31"/>
      <c r="H44" s="32">
        <f t="shared" si="1"/>
        <v>513</v>
      </c>
      <c r="I44" s="67">
        <f t="shared" si="2"/>
        <v>3911</v>
      </c>
      <c r="J44" s="33" t="s">
        <v>26</v>
      </c>
      <c r="K44" s="34">
        <v>0.33333333333333331</v>
      </c>
      <c r="L44" s="34">
        <v>0.79166666666666663</v>
      </c>
      <c r="M44" s="35"/>
      <c r="N44" s="35"/>
      <c r="O44" s="35"/>
    </row>
    <row r="45" spans="1:15" ht="18.75" x14ac:dyDescent="0.3">
      <c r="A45" s="27"/>
      <c r="B45" s="36">
        <f t="shared" ref="B45:G45" si="3">SUM(B14:B44)</f>
        <v>312735</v>
      </c>
      <c r="C45" s="36">
        <f t="shared" si="3"/>
        <v>0</v>
      </c>
      <c r="D45" s="36">
        <f t="shared" si="3"/>
        <v>312735</v>
      </c>
      <c r="E45" s="36">
        <f t="shared" si="3"/>
        <v>300324</v>
      </c>
      <c r="F45" s="36">
        <f t="shared" si="3"/>
        <v>1525</v>
      </c>
      <c r="G45" s="36">
        <f t="shared" si="3"/>
        <v>8500</v>
      </c>
      <c r="H45" s="37"/>
      <c r="I45" s="83"/>
      <c r="J45" s="35"/>
      <c r="K45" s="35"/>
      <c r="L45" s="35"/>
      <c r="M45" s="35"/>
      <c r="N45" s="35"/>
      <c r="O45" s="35"/>
    </row>
    <row r="47" spans="1:15" x14ac:dyDescent="0.25">
      <c r="C47" s="38" t="s">
        <v>19</v>
      </c>
      <c r="D47" s="9">
        <f>B8</f>
        <v>23</v>
      </c>
    </row>
    <row r="48" spans="1:15" x14ac:dyDescent="0.25">
      <c r="C48" s="38" t="s">
        <v>20</v>
      </c>
      <c r="D48" s="39">
        <f>D45/D47</f>
        <v>13597.173913043478</v>
      </c>
    </row>
    <row r="49" spans="1:10" s="7" customFormat="1" x14ac:dyDescent="0.25">
      <c r="A49" s="2"/>
      <c r="B49" s="2"/>
      <c r="C49" s="38" t="s">
        <v>21</v>
      </c>
      <c r="D49" s="39">
        <f>B45/F45</f>
        <v>205.07213114754097</v>
      </c>
      <c r="F49" s="2"/>
      <c r="G49" s="5"/>
      <c r="H49"/>
      <c r="I49"/>
      <c r="J49"/>
    </row>
  </sheetData>
  <sheetProtection algorithmName="SHA-512" hashValue="POJks0fBm/9FCfQLxXwMCEe5Ailo74qkxS08Q4nnz7oOQ5kudnDfAv4psWo75X4Ye10VXl8EONYZaDYvnCkChQ==" saltValue="ciEy6iVOceolesIgsqMBNw==" spinCount="100000" sheet="1" objects="1" scenarios="1"/>
  <protectedRanges>
    <protectedRange sqref="J14:O44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8"/>
  <sheetViews>
    <sheetView zoomScale="115" zoomScaleNormal="115" workbookViewId="0">
      <selection activeCell="F41" sqref="F41"/>
    </sheetView>
  </sheetViews>
  <sheetFormatPr defaultColWidth="8.85546875" defaultRowHeight="15.75" x14ac:dyDescent="0.25"/>
  <cols>
    <col min="1" max="1" width="13.7109375" style="41" bestFit="1" customWidth="1"/>
    <col min="2" max="2" width="15.7109375" style="41" customWidth="1"/>
    <col min="3" max="3" width="12" style="41" bestFit="1" customWidth="1"/>
    <col min="4" max="4" width="14.85546875" style="41" bestFit="1" customWidth="1"/>
    <col min="5" max="5" width="16.5703125" style="48" bestFit="1" customWidth="1"/>
    <col min="6" max="6" width="13.28515625" style="41" customWidth="1"/>
    <col min="7" max="7" width="13.5703125" style="44" bestFit="1" customWidth="1"/>
    <col min="8" max="8" width="11.5703125" style="45" bestFit="1" customWidth="1"/>
    <col min="9" max="9" width="17.7109375" style="45" customWidth="1"/>
    <col min="10" max="10" width="12.7109375" style="45" bestFit="1" customWidth="1"/>
    <col min="11" max="11" width="14.28515625" style="45" bestFit="1" customWidth="1"/>
    <col min="12" max="12" width="8.85546875" style="45"/>
    <col min="13" max="13" width="12.7109375" style="45" bestFit="1" customWidth="1"/>
    <col min="14" max="14" width="9.28515625" style="45" bestFit="1" customWidth="1"/>
    <col min="15" max="16384" width="8.85546875" style="45"/>
  </cols>
  <sheetData>
    <row r="2" spans="1:15" ht="18.75" x14ac:dyDescent="0.3">
      <c r="A2" s="40" t="s">
        <v>0</v>
      </c>
      <c r="D2" s="42" t="s">
        <v>1</v>
      </c>
      <c r="E2" s="43" t="s">
        <v>2</v>
      </c>
      <c r="F2" s="42"/>
      <c r="G2" s="44" t="s">
        <v>3</v>
      </c>
      <c r="I2" s="46" t="s">
        <v>4</v>
      </c>
    </row>
    <row r="3" spans="1:15" ht="18.75" x14ac:dyDescent="0.3">
      <c r="A3" s="47">
        <f>Октябрь25!I3</f>
        <v>3911</v>
      </c>
      <c r="B3" s="48"/>
      <c r="C3" s="48"/>
      <c r="D3" s="43">
        <f>D44</f>
        <v>338983</v>
      </c>
      <c r="E3" s="43">
        <f>E44</f>
        <v>313018</v>
      </c>
      <c r="F3" s="43"/>
      <c r="G3" s="43">
        <f>G44</f>
        <v>15000</v>
      </c>
      <c r="I3" s="49">
        <f>I43</f>
        <v>14876</v>
      </c>
    </row>
    <row r="5" spans="1:15" x14ac:dyDescent="0.25">
      <c r="A5" s="41" t="s">
        <v>5</v>
      </c>
    </row>
    <row r="7" spans="1:15" ht="21" x14ac:dyDescent="0.35">
      <c r="A7" s="41">
        <v>2025</v>
      </c>
      <c r="B7" s="50" t="s">
        <v>31</v>
      </c>
    </row>
    <row r="8" spans="1:15" x14ac:dyDescent="0.25">
      <c r="A8" s="41" t="s">
        <v>6</v>
      </c>
      <c r="B8" s="51">
        <f>NETWORKDAYS(A14,A43,A15:A16)</f>
        <v>19</v>
      </c>
    </row>
    <row r="10" spans="1:15" ht="18.75" x14ac:dyDescent="0.3">
      <c r="A10" s="52" t="s">
        <v>7</v>
      </c>
      <c r="B10" s="87" t="str">
        <f>Октябрь25!B10</f>
        <v>Смола</v>
      </c>
      <c r="C10" s="88"/>
      <c r="D10" s="88"/>
    </row>
    <row r="12" spans="1:15" ht="47.25" x14ac:dyDescent="0.25">
      <c r="A12" s="53" t="s">
        <v>8</v>
      </c>
      <c r="B12" s="53" t="s">
        <v>1</v>
      </c>
      <c r="C12" s="53" t="s">
        <v>9</v>
      </c>
      <c r="D12" s="53" t="s">
        <v>10</v>
      </c>
      <c r="E12" s="54" t="s">
        <v>11</v>
      </c>
      <c r="F12" s="53" t="s">
        <v>12</v>
      </c>
      <c r="G12" s="53" t="s">
        <v>3</v>
      </c>
      <c r="H12" s="53" t="s">
        <v>13</v>
      </c>
      <c r="I12" s="53" t="s">
        <v>14</v>
      </c>
      <c r="J12" s="55" t="s">
        <v>15</v>
      </c>
      <c r="K12" s="55" t="s">
        <v>16</v>
      </c>
      <c r="L12" s="55" t="s">
        <v>17</v>
      </c>
      <c r="M12" s="55" t="s">
        <v>18</v>
      </c>
      <c r="N12" s="55" t="s">
        <v>16</v>
      </c>
      <c r="O12" s="55" t="s">
        <v>17</v>
      </c>
    </row>
    <row r="13" spans="1:15" x14ac:dyDescent="0.25">
      <c r="A13" s="53"/>
      <c r="B13" s="53"/>
      <c r="C13" s="53"/>
      <c r="D13" s="53"/>
      <c r="E13" s="54"/>
      <c r="F13" s="53"/>
      <c r="G13" s="53"/>
      <c r="H13" s="56"/>
      <c r="I13" s="57">
        <f>A3</f>
        <v>3911</v>
      </c>
      <c r="J13" s="58"/>
      <c r="K13" s="58"/>
      <c r="L13" s="58"/>
      <c r="M13" s="58"/>
      <c r="N13" s="58"/>
      <c r="O13" s="58"/>
    </row>
    <row r="14" spans="1:15" x14ac:dyDescent="0.25">
      <c r="A14" s="59">
        <v>45962</v>
      </c>
      <c r="B14" s="60">
        <v>12188</v>
      </c>
      <c r="C14" s="61"/>
      <c r="D14" s="62">
        <f t="shared" ref="D14:D43" si="0">B14-C14</f>
        <v>12188</v>
      </c>
      <c r="E14" s="63">
        <v>11849</v>
      </c>
      <c r="F14" s="64">
        <v>67</v>
      </c>
      <c r="G14" s="65"/>
      <c r="H14" s="66">
        <f t="shared" ref="H14:H43" si="1">D14-E14</f>
        <v>339</v>
      </c>
      <c r="I14" s="67">
        <f t="shared" ref="I14:I43" si="2">I13+H14-G14</f>
        <v>4250</v>
      </c>
      <c r="J14" s="68" t="s">
        <v>26</v>
      </c>
      <c r="K14" s="69"/>
      <c r="L14" s="69"/>
      <c r="M14" s="70"/>
      <c r="N14" s="70"/>
      <c r="O14" s="70"/>
    </row>
    <row r="15" spans="1:15" s="80" customFormat="1" x14ac:dyDescent="0.25">
      <c r="A15" s="59">
        <v>45963</v>
      </c>
      <c r="B15" s="71"/>
      <c r="C15" s="72"/>
      <c r="D15" s="62">
        <f t="shared" si="0"/>
        <v>0</v>
      </c>
      <c r="E15" s="73"/>
      <c r="F15" s="74"/>
      <c r="G15" s="75"/>
      <c r="H15" s="76">
        <f t="shared" si="1"/>
        <v>0</v>
      </c>
      <c r="I15" s="77">
        <f t="shared" si="2"/>
        <v>4250</v>
      </c>
      <c r="J15" s="78"/>
      <c r="K15" s="79"/>
      <c r="L15" s="79"/>
      <c r="M15" s="79"/>
      <c r="N15" s="79"/>
      <c r="O15" s="79"/>
    </row>
    <row r="16" spans="1:15" s="80" customFormat="1" x14ac:dyDescent="0.25">
      <c r="A16" s="59">
        <v>45964</v>
      </c>
      <c r="B16" s="71"/>
      <c r="C16" s="72"/>
      <c r="D16" s="62">
        <f t="shared" si="0"/>
        <v>0</v>
      </c>
      <c r="E16" s="73"/>
      <c r="F16" s="74"/>
      <c r="G16" s="75"/>
      <c r="H16" s="76">
        <f t="shared" si="1"/>
        <v>0</v>
      </c>
      <c r="I16" s="77">
        <f t="shared" si="2"/>
        <v>4250</v>
      </c>
      <c r="J16" s="78"/>
      <c r="K16" s="79"/>
      <c r="L16" s="79"/>
      <c r="M16" s="79"/>
      <c r="N16" s="79"/>
      <c r="O16" s="79"/>
    </row>
    <row r="17" spans="1:15" s="80" customFormat="1" x14ac:dyDescent="0.25">
      <c r="A17" s="59">
        <v>45965</v>
      </c>
      <c r="B17" s="71"/>
      <c r="C17" s="72"/>
      <c r="D17" s="62">
        <f t="shared" si="0"/>
        <v>0</v>
      </c>
      <c r="E17" s="73"/>
      <c r="F17" s="74"/>
      <c r="G17" s="75"/>
      <c r="H17" s="76">
        <f t="shared" si="1"/>
        <v>0</v>
      </c>
      <c r="I17" s="77">
        <f t="shared" si="2"/>
        <v>4250</v>
      </c>
      <c r="J17" s="78"/>
      <c r="K17" s="79"/>
      <c r="L17" s="79"/>
      <c r="M17" s="79"/>
      <c r="N17" s="79"/>
      <c r="O17" s="79"/>
    </row>
    <row r="18" spans="1:15" x14ac:dyDescent="0.25">
      <c r="A18" s="59">
        <v>45966</v>
      </c>
      <c r="B18" s="60">
        <v>14344</v>
      </c>
      <c r="C18" s="61"/>
      <c r="D18" s="62">
        <f t="shared" si="0"/>
        <v>14344</v>
      </c>
      <c r="E18" s="63">
        <v>13096</v>
      </c>
      <c r="F18" s="64">
        <v>73</v>
      </c>
      <c r="G18" s="65"/>
      <c r="H18" s="66">
        <f t="shared" si="1"/>
        <v>1248</v>
      </c>
      <c r="I18" s="67">
        <f t="shared" si="2"/>
        <v>5498</v>
      </c>
      <c r="J18" s="68" t="s">
        <v>26</v>
      </c>
      <c r="K18" s="69"/>
      <c r="L18" s="69"/>
      <c r="M18" s="70"/>
      <c r="N18" s="70"/>
      <c r="O18" s="70"/>
    </row>
    <row r="19" spans="1:15" x14ac:dyDescent="0.25">
      <c r="A19" s="59">
        <v>45967</v>
      </c>
      <c r="B19" s="60">
        <v>12194</v>
      </c>
      <c r="C19" s="61"/>
      <c r="D19" s="62">
        <f t="shared" si="0"/>
        <v>12194</v>
      </c>
      <c r="E19" s="63">
        <v>11391</v>
      </c>
      <c r="F19" s="64">
        <v>68</v>
      </c>
      <c r="G19" s="65"/>
      <c r="H19" s="66">
        <f t="shared" si="1"/>
        <v>803</v>
      </c>
      <c r="I19" s="67">
        <f t="shared" si="2"/>
        <v>6301</v>
      </c>
      <c r="J19" s="68" t="s">
        <v>32</v>
      </c>
      <c r="K19" s="69"/>
      <c r="L19" s="69"/>
      <c r="M19" s="70"/>
      <c r="N19" s="70"/>
      <c r="O19" s="70"/>
    </row>
    <row r="20" spans="1:15" x14ac:dyDescent="0.25">
      <c r="A20" s="59">
        <v>45968</v>
      </c>
      <c r="B20" s="60">
        <v>18036</v>
      </c>
      <c r="C20" s="61"/>
      <c r="D20" s="62">
        <f t="shared" si="0"/>
        <v>18036</v>
      </c>
      <c r="E20" s="63">
        <v>14834</v>
      </c>
      <c r="F20" s="64">
        <v>82</v>
      </c>
      <c r="G20" s="65">
        <v>5000</v>
      </c>
      <c r="H20" s="66">
        <f t="shared" si="1"/>
        <v>3202</v>
      </c>
      <c r="I20" s="67">
        <f t="shared" si="2"/>
        <v>4503</v>
      </c>
      <c r="J20" s="68" t="s">
        <v>26</v>
      </c>
      <c r="K20" s="69"/>
      <c r="L20" s="69"/>
      <c r="M20" s="70"/>
      <c r="N20" s="70"/>
      <c r="O20" s="70"/>
    </row>
    <row r="21" spans="1:15" s="80" customFormat="1" x14ac:dyDescent="0.25">
      <c r="A21" s="59">
        <v>45969</v>
      </c>
      <c r="B21" s="71"/>
      <c r="C21" s="72"/>
      <c r="D21" s="62">
        <f t="shared" si="0"/>
        <v>0</v>
      </c>
      <c r="E21" s="73"/>
      <c r="F21" s="74"/>
      <c r="G21" s="75"/>
      <c r="H21" s="76">
        <f t="shared" si="1"/>
        <v>0</v>
      </c>
      <c r="I21" s="77">
        <f t="shared" si="2"/>
        <v>4503</v>
      </c>
      <c r="J21" s="78"/>
      <c r="K21" s="79"/>
      <c r="L21" s="79"/>
      <c r="M21" s="79"/>
      <c r="N21" s="79"/>
      <c r="O21" s="79"/>
    </row>
    <row r="22" spans="1:15" s="80" customFormat="1" x14ac:dyDescent="0.25">
      <c r="A22" s="59">
        <v>45970</v>
      </c>
      <c r="B22" s="71"/>
      <c r="C22" s="72"/>
      <c r="D22" s="62">
        <f t="shared" si="0"/>
        <v>0</v>
      </c>
      <c r="E22" s="73"/>
      <c r="F22" s="74"/>
      <c r="G22" s="75"/>
      <c r="H22" s="76">
        <f t="shared" si="1"/>
        <v>0</v>
      </c>
      <c r="I22" s="77">
        <f t="shared" si="2"/>
        <v>4503</v>
      </c>
      <c r="J22" s="78"/>
      <c r="K22" s="79"/>
      <c r="L22" s="79"/>
      <c r="M22" s="79"/>
      <c r="N22" s="79"/>
      <c r="O22" s="79"/>
    </row>
    <row r="23" spans="1:15" x14ac:dyDescent="0.25">
      <c r="A23" s="59">
        <v>45971</v>
      </c>
      <c r="B23" s="60">
        <v>22462</v>
      </c>
      <c r="C23" s="61"/>
      <c r="D23" s="62">
        <f t="shared" si="0"/>
        <v>22462</v>
      </c>
      <c r="E23" s="63">
        <v>18501</v>
      </c>
      <c r="F23" s="64">
        <v>100</v>
      </c>
      <c r="G23" s="65"/>
      <c r="H23" s="66">
        <f t="shared" si="1"/>
        <v>3961</v>
      </c>
      <c r="I23" s="67">
        <f t="shared" si="2"/>
        <v>8464</v>
      </c>
      <c r="J23" s="68" t="s">
        <v>33</v>
      </c>
      <c r="K23" s="69"/>
      <c r="L23" s="69"/>
      <c r="M23" s="70"/>
      <c r="N23" s="70"/>
      <c r="O23" s="70"/>
    </row>
    <row r="24" spans="1:15" x14ac:dyDescent="0.25">
      <c r="A24" s="59">
        <v>45972</v>
      </c>
      <c r="B24" s="60">
        <v>17698</v>
      </c>
      <c r="C24" s="61"/>
      <c r="D24" s="62">
        <f t="shared" si="0"/>
        <v>17698</v>
      </c>
      <c r="E24" s="63">
        <v>16410</v>
      </c>
      <c r="F24" s="64">
        <v>93</v>
      </c>
      <c r="G24" s="65"/>
      <c r="H24" s="66">
        <f t="shared" si="1"/>
        <v>1288</v>
      </c>
      <c r="I24" s="67">
        <f t="shared" si="2"/>
        <v>9752</v>
      </c>
      <c r="J24" s="68" t="s">
        <v>34</v>
      </c>
      <c r="K24" s="69"/>
      <c r="L24" s="69"/>
      <c r="M24" s="70"/>
      <c r="N24" s="70"/>
      <c r="O24" s="70"/>
    </row>
    <row r="25" spans="1:15" x14ac:dyDescent="0.25">
      <c r="A25" s="59">
        <v>45973</v>
      </c>
      <c r="B25" s="60">
        <v>19958</v>
      </c>
      <c r="C25" s="61">
        <v>72</v>
      </c>
      <c r="D25" s="62">
        <f t="shared" si="0"/>
        <v>19886</v>
      </c>
      <c r="E25" s="63">
        <v>18650</v>
      </c>
      <c r="F25" s="64">
        <v>102</v>
      </c>
      <c r="G25" s="65"/>
      <c r="H25" s="66">
        <f t="shared" si="1"/>
        <v>1236</v>
      </c>
      <c r="I25" s="67">
        <f t="shared" si="2"/>
        <v>10988</v>
      </c>
      <c r="J25" s="68" t="s">
        <v>34</v>
      </c>
      <c r="K25" s="69"/>
      <c r="L25" s="69"/>
      <c r="M25" s="70"/>
      <c r="N25" s="70"/>
      <c r="O25" s="70"/>
    </row>
    <row r="26" spans="1:15" x14ac:dyDescent="0.25">
      <c r="A26" s="59">
        <v>45974</v>
      </c>
      <c r="B26" s="60">
        <v>18907</v>
      </c>
      <c r="C26" s="61"/>
      <c r="D26" s="62">
        <f t="shared" si="0"/>
        <v>18907</v>
      </c>
      <c r="E26" s="63">
        <v>18907</v>
      </c>
      <c r="F26" s="64">
        <v>91</v>
      </c>
      <c r="G26" s="65"/>
      <c r="H26" s="66">
        <f t="shared" si="1"/>
        <v>0</v>
      </c>
      <c r="I26" s="67">
        <f t="shared" si="2"/>
        <v>10988</v>
      </c>
      <c r="J26" s="68" t="s">
        <v>35</v>
      </c>
      <c r="K26" s="69"/>
      <c r="L26" s="69"/>
      <c r="M26" s="70"/>
      <c r="N26" s="70"/>
      <c r="O26" s="70"/>
    </row>
    <row r="27" spans="1:15" x14ac:dyDescent="0.25">
      <c r="A27" s="59">
        <v>45975</v>
      </c>
      <c r="B27" s="60">
        <v>15381</v>
      </c>
      <c r="C27" s="61"/>
      <c r="D27" s="62">
        <f t="shared" si="0"/>
        <v>15381</v>
      </c>
      <c r="E27" s="63">
        <v>14480</v>
      </c>
      <c r="F27" s="64">
        <v>85</v>
      </c>
      <c r="G27" s="65"/>
      <c r="H27" s="66">
        <f t="shared" si="1"/>
        <v>901</v>
      </c>
      <c r="I27" s="67">
        <f t="shared" si="2"/>
        <v>11889</v>
      </c>
      <c r="J27" s="68" t="s">
        <v>35</v>
      </c>
      <c r="K27" s="69"/>
      <c r="L27" s="69"/>
      <c r="M27" s="70"/>
      <c r="N27" s="70"/>
      <c r="O27" s="70"/>
    </row>
    <row r="28" spans="1:15" s="80" customFormat="1" x14ac:dyDescent="0.25">
      <c r="A28" s="59">
        <v>45976</v>
      </c>
      <c r="B28" s="71"/>
      <c r="C28" s="72"/>
      <c r="D28" s="62">
        <f t="shared" si="0"/>
        <v>0</v>
      </c>
      <c r="E28" s="73"/>
      <c r="F28" s="74"/>
      <c r="G28" s="75"/>
      <c r="H28" s="76">
        <f t="shared" si="1"/>
        <v>0</v>
      </c>
      <c r="I28" s="77">
        <f t="shared" si="2"/>
        <v>11889</v>
      </c>
      <c r="J28" s="78"/>
      <c r="K28" s="79"/>
      <c r="L28" s="79"/>
      <c r="M28" s="79"/>
      <c r="N28" s="79"/>
      <c r="O28" s="79"/>
    </row>
    <row r="29" spans="1:15" s="80" customFormat="1" x14ac:dyDescent="0.25">
      <c r="A29" s="59">
        <v>45977</v>
      </c>
      <c r="B29" s="71"/>
      <c r="C29" s="72"/>
      <c r="D29" s="62">
        <f t="shared" si="0"/>
        <v>0</v>
      </c>
      <c r="E29" s="73"/>
      <c r="F29" s="74"/>
      <c r="G29" s="75"/>
      <c r="H29" s="76">
        <f t="shared" si="1"/>
        <v>0</v>
      </c>
      <c r="I29" s="77">
        <f t="shared" si="2"/>
        <v>11889</v>
      </c>
      <c r="J29" s="78"/>
      <c r="K29" s="79"/>
      <c r="L29" s="79"/>
      <c r="M29" s="79"/>
      <c r="N29" s="79"/>
      <c r="O29" s="79"/>
    </row>
    <row r="30" spans="1:15" x14ac:dyDescent="0.25">
      <c r="A30" s="59">
        <v>45978</v>
      </c>
      <c r="B30" s="60">
        <v>16221</v>
      </c>
      <c r="C30" s="61"/>
      <c r="D30" s="62">
        <f t="shared" si="0"/>
        <v>16221</v>
      </c>
      <c r="E30" s="63">
        <v>15044</v>
      </c>
      <c r="F30" s="64">
        <v>85</v>
      </c>
      <c r="G30" s="65"/>
      <c r="H30" s="66">
        <f t="shared" si="1"/>
        <v>1177</v>
      </c>
      <c r="I30" s="67">
        <f t="shared" si="2"/>
        <v>13066</v>
      </c>
      <c r="J30" s="68" t="s">
        <v>26</v>
      </c>
      <c r="K30" s="69"/>
      <c r="L30" s="69"/>
      <c r="M30" s="70"/>
      <c r="N30" s="70"/>
      <c r="O30" s="70"/>
    </row>
    <row r="31" spans="1:15" x14ac:dyDescent="0.25">
      <c r="A31" s="59">
        <v>45979</v>
      </c>
      <c r="B31" s="60">
        <v>19321</v>
      </c>
      <c r="C31" s="61"/>
      <c r="D31" s="62">
        <f t="shared" si="0"/>
        <v>19321</v>
      </c>
      <c r="E31" s="63">
        <v>18968</v>
      </c>
      <c r="F31" s="64">
        <v>105</v>
      </c>
      <c r="G31" s="65"/>
      <c r="H31" s="66">
        <f t="shared" si="1"/>
        <v>353</v>
      </c>
      <c r="I31" s="67">
        <f t="shared" si="2"/>
        <v>13419</v>
      </c>
      <c r="J31" s="68" t="s">
        <v>26</v>
      </c>
      <c r="K31" s="69"/>
      <c r="L31" s="69"/>
      <c r="M31" s="70"/>
      <c r="N31" s="70"/>
      <c r="O31" s="70"/>
    </row>
    <row r="32" spans="1:15" x14ac:dyDescent="0.25">
      <c r="A32" s="59">
        <v>45980</v>
      </c>
      <c r="B32" s="60">
        <v>17783</v>
      </c>
      <c r="C32" s="61"/>
      <c r="D32" s="62">
        <f t="shared" si="0"/>
        <v>17783</v>
      </c>
      <c r="E32" s="63">
        <v>17783</v>
      </c>
      <c r="F32" s="64">
        <v>85</v>
      </c>
      <c r="G32" s="65"/>
      <c r="H32" s="66">
        <f t="shared" si="1"/>
        <v>0</v>
      </c>
      <c r="I32" s="67">
        <f t="shared" si="2"/>
        <v>13419</v>
      </c>
      <c r="J32" s="68" t="s">
        <v>26</v>
      </c>
      <c r="K32" s="69"/>
      <c r="L32" s="69"/>
      <c r="M32" s="70"/>
      <c r="N32" s="70"/>
      <c r="O32" s="70"/>
    </row>
    <row r="33" spans="1:15" x14ac:dyDescent="0.25">
      <c r="A33" s="59">
        <v>45981</v>
      </c>
      <c r="B33" s="60">
        <v>16326</v>
      </c>
      <c r="C33" s="61"/>
      <c r="D33" s="62">
        <f t="shared" si="0"/>
        <v>16326</v>
      </c>
      <c r="E33" s="63">
        <v>15870</v>
      </c>
      <c r="F33" s="64">
        <v>83</v>
      </c>
      <c r="G33" s="65">
        <v>10000</v>
      </c>
      <c r="H33" s="66">
        <f t="shared" si="1"/>
        <v>456</v>
      </c>
      <c r="I33" s="67">
        <f t="shared" si="2"/>
        <v>3875</v>
      </c>
      <c r="J33" s="68" t="s">
        <v>26</v>
      </c>
      <c r="K33" s="69"/>
      <c r="L33" s="69"/>
      <c r="M33" s="70"/>
      <c r="N33" s="70"/>
      <c r="O33" s="70"/>
    </row>
    <row r="34" spans="1:15" x14ac:dyDescent="0.25">
      <c r="A34" s="59">
        <v>45982</v>
      </c>
      <c r="B34" s="60">
        <v>19657</v>
      </c>
      <c r="C34" s="61"/>
      <c r="D34" s="62">
        <f t="shared" si="0"/>
        <v>19657</v>
      </c>
      <c r="E34" s="63">
        <v>16221</v>
      </c>
      <c r="F34" s="64">
        <v>82</v>
      </c>
      <c r="G34" s="65"/>
      <c r="H34" s="66">
        <f t="shared" si="1"/>
        <v>3436</v>
      </c>
      <c r="I34" s="67">
        <f t="shared" si="2"/>
        <v>7311</v>
      </c>
      <c r="J34" s="68" t="s">
        <v>26</v>
      </c>
      <c r="K34" s="69"/>
      <c r="L34" s="69"/>
      <c r="M34" s="70"/>
      <c r="N34" s="70"/>
      <c r="O34" s="70"/>
    </row>
    <row r="35" spans="1:15" s="80" customFormat="1" x14ac:dyDescent="0.25">
      <c r="A35" s="59">
        <v>45983</v>
      </c>
      <c r="B35" s="71"/>
      <c r="C35" s="72"/>
      <c r="D35" s="62">
        <f t="shared" si="0"/>
        <v>0</v>
      </c>
      <c r="E35" s="73"/>
      <c r="F35" s="74"/>
      <c r="G35" s="75"/>
      <c r="H35" s="76">
        <f t="shared" si="1"/>
        <v>0</v>
      </c>
      <c r="I35" s="77">
        <f t="shared" si="2"/>
        <v>7311</v>
      </c>
      <c r="J35" s="78"/>
      <c r="K35" s="79"/>
      <c r="L35" s="79"/>
      <c r="M35" s="79"/>
      <c r="N35" s="79"/>
      <c r="O35" s="79"/>
    </row>
    <row r="36" spans="1:15" s="80" customFormat="1" x14ac:dyDescent="0.25">
      <c r="A36" s="59">
        <v>45984</v>
      </c>
      <c r="B36" s="71"/>
      <c r="C36" s="72"/>
      <c r="D36" s="62">
        <f t="shared" si="0"/>
        <v>0</v>
      </c>
      <c r="E36" s="73"/>
      <c r="F36" s="74"/>
      <c r="G36" s="75"/>
      <c r="H36" s="76">
        <f t="shared" si="1"/>
        <v>0</v>
      </c>
      <c r="I36" s="77">
        <f t="shared" si="2"/>
        <v>7311</v>
      </c>
      <c r="J36" s="78"/>
      <c r="K36" s="79"/>
      <c r="L36" s="79"/>
      <c r="M36" s="79"/>
      <c r="N36" s="79"/>
      <c r="O36" s="79"/>
    </row>
    <row r="37" spans="1:15" x14ac:dyDescent="0.25">
      <c r="A37" s="59">
        <v>45985</v>
      </c>
      <c r="B37" s="60">
        <v>17684</v>
      </c>
      <c r="C37" s="61"/>
      <c r="D37" s="62">
        <f t="shared" si="0"/>
        <v>17684</v>
      </c>
      <c r="E37" s="63">
        <v>15109</v>
      </c>
      <c r="F37" s="64">
        <v>82</v>
      </c>
      <c r="G37" s="65"/>
      <c r="H37" s="66">
        <f t="shared" si="1"/>
        <v>2575</v>
      </c>
      <c r="I37" s="67">
        <f t="shared" si="2"/>
        <v>9886</v>
      </c>
      <c r="J37" s="68" t="s">
        <v>26</v>
      </c>
      <c r="K37" s="69"/>
      <c r="L37" s="69"/>
      <c r="M37" s="70"/>
      <c r="N37" s="70"/>
      <c r="O37" s="70"/>
    </row>
    <row r="38" spans="1:15" x14ac:dyDescent="0.25">
      <c r="A38" s="59">
        <v>45986</v>
      </c>
      <c r="B38" s="60">
        <v>18436</v>
      </c>
      <c r="C38" s="61"/>
      <c r="D38" s="62">
        <f t="shared" si="0"/>
        <v>18436</v>
      </c>
      <c r="E38" s="63">
        <v>18436</v>
      </c>
      <c r="F38" s="64">
        <v>95</v>
      </c>
      <c r="G38" s="65"/>
      <c r="H38" s="66">
        <f t="shared" si="1"/>
        <v>0</v>
      </c>
      <c r="I38" s="67">
        <f t="shared" si="2"/>
        <v>9886</v>
      </c>
      <c r="J38" s="68" t="s">
        <v>26</v>
      </c>
      <c r="K38" s="69"/>
      <c r="L38" s="69"/>
      <c r="M38" s="70"/>
      <c r="N38" s="70"/>
      <c r="O38" s="70"/>
    </row>
    <row r="39" spans="1:15" x14ac:dyDescent="0.25">
      <c r="A39" s="59">
        <v>45987</v>
      </c>
      <c r="B39" s="60">
        <v>18262</v>
      </c>
      <c r="C39" s="61"/>
      <c r="D39" s="62">
        <f t="shared" si="0"/>
        <v>18262</v>
      </c>
      <c r="E39" s="63">
        <v>16870</v>
      </c>
      <c r="F39" s="64">
        <v>87</v>
      </c>
      <c r="G39" s="65"/>
      <c r="H39" s="66">
        <f t="shared" si="1"/>
        <v>1392</v>
      </c>
      <c r="I39" s="67">
        <f t="shared" si="2"/>
        <v>11278</v>
      </c>
      <c r="J39" s="68" t="s">
        <v>26</v>
      </c>
      <c r="K39" s="69"/>
      <c r="L39" s="69"/>
      <c r="M39" s="70"/>
      <c r="N39" s="70"/>
      <c r="O39" s="70"/>
    </row>
    <row r="40" spans="1:15" x14ac:dyDescent="0.25">
      <c r="A40" s="59">
        <v>45988</v>
      </c>
      <c r="B40" s="60">
        <v>25670</v>
      </c>
      <c r="C40" s="61"/>
      <c r="D40" s="62">
        <f t="shared" si="0"/>
        <v>25670</v>
      </c>
      <c r="E40" s="63">
        <v>22609</v>
      </c>
      <c r="F40" s="64">
        <v>115</v>
      </c>
      <c r="G40" s="65"/>
      <c r="H40" s="66">
        <f t="shared" si="1"/>
        <v>3061</v>
      </c>
      <c r="I40" s="67">
        <f t="shared" si="2"/>
        <v>14339</v>
      </c>
      <c r="J40" s="68" t="s">
        <v>26</v>
      </c>
      <c r="K40" s="69"/>
      <c r="L40" s="69"/>
      <c r="M40" s="70"/>
      <c r="N40" s="70"/>
      <c r="O40" s="70"/>
    </row>
    <row r="41" spans="1:15" x14ac:dyDescent="0.25">
      <c r="A41" s="59">
        <v>45989</v>
      </c>
      <c r="B41" s="60">
        <v>18527</v>
      </c>
      <c r="C41" s="61"/>
      <c r="D41" s="62">
        <f t="shared" si="0"/>
        <v>18527</v>
      </c>
      <c r="E41" s="63">
        <v>17990</v>
      </c>
      <c r="F41" s="64">
        <v>97</v>
      </c>
      <c r="G41" s="65"/>
      <c r="H41" s="66">
        <f t="shared" si="1"/>
        <v>537</v>
      </c>
      <c r="I41" s="67">
        <f t="shared" si="2"/>
        <v>14876</v>
      </c>
      <c r="J41" s="68" t="s">
        <v>26</v>
      </c>
      <c r="K41" s="69"/>
      <c r="L41" s="69"/>
      <c r="M41" s="70"/>
      <c r="N41" s="70"/>
      <c r="O41" s="70"/>
    </row>
    <row r="42" spans="1:15" s="80" customFormat="1" x14ac:dyDescent="0.25">
      <c r="A42" s="59">
        <v>45990</v>
      </c>
      <c r="B42" s="71"/>
      <c r="C42" s="72"/>
      <c r="D42" s="62">
        <f t="shared" si="0"/>
        <v>0</v>
      </c>
      <c r="E42" s="73"/>
      <c r="F42" s="74"/>
      <c r="G42" s="75"/>
      <c r="H42" s="76">
        <f t="shared" si="1"/>
        <v>0</v>
      </c>
      <c r="I42" s="77">
        <f t="shared" si="2"/>
        <v>14876</v>
      </c>
      <c r="J42" s="78"/>
      <c r="K42" s="79"/>
      <c r="L42" s="79"/>
      <c r="M42" s="79"/>
      <c r="N42" s="79"/>
      <c r="O42" s="79"/>
    </row>
    <row r="43" spans="1:15" s="80" customFormat="1" x14ac:dyDescent="0.25">
      <c r="A43" s="59">
        <v>45991</v>
      </c>
      <c r="B43" s="71"/>
      <c r="C43" s="72"/>
      <c r="D43" s="62">
        <f t="shared" si="0"/>
        <v>0</v>
      </c>
      <c r="E43" s="73"/>
      <c r="F43" s="74"/>
      <c r="G43" s="75"/>
      <c r="H43" s="76">
        <f t="shared" si="1"/>
        <v>0</v>
      </c>
      <c r="I43" s="77">
        <f t="shared" si="2"/>
        <v>14876</v>
      </c>
      <c r="J43" s="78"/>
      <c r="K43" s="79"/>
      <c r="L43" s="79"/>
      <c r="M43" s="79"/>
      <c r="N43" s="79"/>
      <c r="O43" s="79"/>
    </row>
    <row r="44" spans="1:15" ht="18.75" x14ac:dyDescent="0.3">
      <c r="A44" s="60"/>
      <c r="B44" s="81">
        <f t="shared" ref="B44:G44" si="3">SUM(B14:B43)</f>
        <v>339055</v>
      </c>
      <c r="C44" s="81">
        <f t="shared" si="3"/>
        <v>72</v>
      </c>
      <c r="D44" s="81">
        <f t="shared" si="3"/>
        <v>338983</v>
      </c>
      <c r="E44" s="81">
        <f t="shared" si="3"/>
        <v>313018</v>
      </c>
      <c r="F44" s="81">
        <f t="shared" si="3"/>
        <v>1677</v>
      </c>
      <c r="G44" s="81">
        <f t="shared" si="3"/>
        <v>15000</v>
      </c>
      <c r="H44" s="82"/>
      <c r="I44" s="83"/>
      <c r="J44" s="70"/>
      <c r="K44" s="70"/>
      <c r="L44" s="70"/>
      <c r="M44" s="70"/>
      <c r="N44" s="70"/>
      <c r="O44" s="70"/>
    </row>
    <row r="46" spans="1:15" x14ac:dyDescent="0.25">
      <c r="C46" s="84" t="s">
        <v>19</v>
      </c>
      <c r="D46" s="51">
        <f>B8</f>
        <v>19</v>
      </c>
    </row>
    <row r="47" spans="1:15" x14ac:dyDescent="0.25">
      <c r="C47" s="84" t="s">
        <v>20</v>
      </c>
      <c r="D47" s="85">
        <f>D44/D46</f>
        <v>17841.21052631579</v>
      </c>
    </row>
    <row r="48" spans="1:15" s="48" customFormat="1" x14ac:dyDescent="0.25">
      <c r="A48" s="41"/>
      <c r="B48" s="41"/>
      <c r="C48" s="84" t="s">
        <v>21</v>
      </c>
      <c r="D48" s="85">
        <f>B44/F44</f>
        <v>202.17948717948718</v>
      </c>
      <c r="F48" s="41"/>
      <c r="G48" s="44"/>
      <c r="H48" s="45"/>
      <c r="I48" s="45"/>
      <c r="J48" s="45"/>
    </row>
  </sheetData>
  <sheetProtection algorithmName="SHA-512" hashValue="h+k6vcAUhEJW06thmnmnDvUrAQdijEQ7UN/Jz3pf3lY5CsP7NeRF8RPGP10nOexfa4HWWCH3KBwU/lol+gjAsA==" saltValue="DyxZC14FA+dgYZb8/TZlgg==" spinCount="100000" sheet="1" objects="1" scenarios="1"/>
  <protectedRanges>
    <protectedRange sqref="J14:O43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9"/>
  <sheetViews>
    <sheetView zoomScaleNormal="100" workbookViewId="0">
      <selection activeCell="F43" sqref="F43"/>
    </sheetView>
  </sheetViews>
  <sheetFormatPr defaultColWidth="8.85546875" defaultRowHeight="15.75" x14ac:dyDescent="0.25"/>
  <cols>
    <col min="1" max="1" width="13.7109375" style="2" bestFit="1" customWidth="1"/>
    <col min="2" max="2" width="15.7109375" style="2" customWidth="1"/>
    <col min="3" max="3" width="12" style="2" bestFit="1" customWidth="1"/>
    <col min="4" max="4" width="14.85546875" style="2" bestFit="1" customWidth="1"/>
    <col min="5" max="5" width="16.5703125" style="7" bestFit="1" customWidth="1"/>
    <col min="6" max="6" width="13.28515625" style="2" customWidth="1"/>
    <col min="7" max="7" width="13.5703125" style="5" bestFit="1" customWidth="1"/>
    <col min="8" max="8" width="11.5703125" bestFit="1" customWidth="1"/>
    <col min="9" max="9" width="17.7109375" customWidth="1"/>
    <col min="10" max="10" width="12.7109375" bestFit="1" customWidth="1"/>
    <col min="11" max="11" width="14.28515625" bestFit="1" customWidth="1"/>
    <col min="13" max="13" width="12.7109375" bestFit="1" customWidth="1"/>
    <col min="14" max="14" width="9.28515625" bestFit="1" customWidth="1"/>
  </cols>
  <sheetData>
    <row r="2" spans="1:15" ht="18.75" x14ac:dyDescent="0.3">
      <c r="A2" s="1" t="s">
        <v>0</v>
      </c>
      <c r="D2" s="3" t="s">
        <v>1</v>
      </c>
      <c r="E2" s="4" t="s">
        <v>2</v>
      </c>
      <c r="F2" s="3"/>
      <c r="G2" s="5" t="s">
        <v>3</v>
      </c>
      <c r="I2" s="6" t="s">
        <v>4</v>
      </c>
    </row>
    <row r="3" spans="1:15" ht="18.75" x14ac:dyDescent="0.3">
      <c r="A3" s="47">
        <f>Ноябрь25!I3</f>
        <v>14876</v>
      </c>
      <c r="B3" s="7"/>
      <c r="C3" s="7"/>
      <c r="D3" s="4">
        <f>D45</f>
        <v>462169</v>
      </c>
      <c r="E3" s="4">
        <f>E45</f>
        <v>431167</v>
      </c>
      <c r="F3" s="4"/>
      <c r="G3" s="4">
        <f>G45</f>
        <v>38264</v>
      </c>
      <c r="I3" s="49">
        <f>I44</f>
        <v>7614</v>
      </c>
    </row>
    <row r="5" spans="1:15" x14ac:dyDescent="0.25">
      <c r="A5" s="2" t="s">
        <v>5</v>
      </c>
    </row>
    <row r="7" spans="1:15" ht="21" x14ac:dyDescent="0.35">
      <c r="A7" s="2">
        <v>2025</v>
      </c>
      <c r="B7" s="8" t="s">
        <v>36</v>
      </c>
    </row>
    <row r="8" spans="1:15" x14ac:dyDescent="0.25">
      <c r="A8" s="2" t="s">
        <v>6</v>
      </c>
      <c r="B8" s="9">
        <f>NETWORKDAYS(A14,A44,A44)</f>
        <v>22</v>
      </c>
    </row>
    <row r="10" spans="1:15" ht="18.75" x14ac:dyDescent="0.3">
      <c r="A10" s="10" t="s">
        <v>7</v>
      </c>
      <c r="B10" s="89" t="str">
        <f>Ноябрь25!B10</f>
        <v>Смола</v>
      </c>
      <c r="C10" s="90"/>
      <c r="D10" s="90"/>
    </row>
    <row r="12" spans="1:15" ht="47.25" x14ac:dyDescent="0.25">
      <c r="A12" s="11" t="s">
        <v>8</v>
      </c>
      <c r="B12" s="11" t="s">
        <v>1</v>
      </c>
      <c r="C12" s="11" t="s">
        <v>9</v>
      </c>
      <c r="D12" s="11" t="s">
        <v>10</v>
      </c>
      <c r="E12" s="12" t="s">
        <v>11</v>
      </c>
      <c r="F12" s="11" t="s">
        <v>12</v>
      </c>
      <c r="G12" s="11" t="s">
        <v>3</v>
      </c>
      <c r="H12" s="11" t="s">
        <v>13</v>
      </c>
      <c r="I12" s="11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16</v>
      </c>
      <c r="O12" s="13" t="s">
        <v>17</v>
      </c>
    </row>
    <row r="13" spans="1:15" x14ac:dyDescent="0.25">
      <c r="A13" s="11"/>
      <c r="B13" s="11"/>
      <c r="C13" s="11"/>
      <c r="D13" s="11"/>
      <c r="E13" s="12"/>
      <c r="F13" s="11"/>
      <c r="G13" s="11"/>
      <c r="H13" s="14"/>
      <c r="I13" s="57">
        <f>A3</f>
        <v>14876</v>
      </c>
      <c r="J13" s="15"/>
      <c r="K13" s="15"/>
      <c r="L13" s="15"/>
      <c r="M13" s="15"/>
      <c r="N13" s="15"/>
      <c r="O13" s="15"/>
    </row>
    <row r="14" spans="1:15" x14ac:dyDescent="0.25">
      <c r="A14" s="16">
        <v>45992</v>
      </c>
      <c r="B14" s="27">
        <v>23004</v>
      </c>
      <c r="C14" s="28"/>
      <c r="D14" s="19">
        <f t="shared" ref="D14:D44" si="0">B14-C14</f>
        <v>23004</v>
      </c>
      <c r="E14" s="29">
        <v>21478</v>
      </c>
      <c r="F14" s="30">
        <v>104</v>
      </c>
      <c r="G14" s="31"/>
      <c r="H14" s="32">
        <f t="shared" ref="H14:H44" si="1">D14-E14</f>
        <v>1526</v>
      </c>
      <c r="I14" s="67">
        <f t="shared" ref="I14:I44" si="2">I13+H14-G14</f>
        <v>16402</v>
      </c>
      <c r="J14" s="33" t="s">
        <v>26</v>
      </c>
      <c r="K14" s="34"/>
      <c r="L14" s="34"/>
      <c r="M14" s="35"/>
      <c r="N14" s="35"/>
      <c r="O14" s="35"/>
    </row>
    <row r="15" spans="1:15" x14ac:dyDescent="0.25">
      <c r="A15" s="16">
        <v>45993</v>
      </c>
      <c r="B15" s="27">
        <v>21755</v>
      </c>
      <c r="C15" s="28"/>
      <c r="D15" s="19">
        <f t="shared" si="0"/>
        <v>21755</v>
      </c>
      <c r="E15" s="29">
        <v>20426</v>
      </c>
      <c r="F15" s="30">
        <v>105</v>
      </c>
      <c r="G15" s="31"/>
      <c r="H15" s="32">
        <f t="shared" si="1"/>
        <v>1329</v>
      </c>
      <c r="I15" s="67">
        <f t="shared" si="2"/>
        <v>17731</v>
      </c>
      <c r="J15" s="33" t="s">
        <v>26</v>
      </c>
      <c r="K15" s="34"/>
      <c r="L15" s="34"/>
      <c r="M15" s="35"/>
      <c r="N15" s="35"/>
      <c r="O15" s="35"/>
    </row>
    <row r="16" spans="1:15" x14ac:dyDescent="0.25">
      <c r="A16" s="16">
        <v>45994</v>
      </c>
      <c r="B16" s="27">
        <v>20583</v>
      </c>
      <c r="C16" s="28"/>
      <c r="D16" s="19">
        <f t="shared" si="0"/>
        <v>20583</v>
      </c>
      <c r="E16" s="29">
        <v>19849</v>
      </c>
      <c r="F16" s="30">
        <v>104</v>
      </c>
      <c r="G16" s="31"/>
      <c r="H16" s="32">
        <f t="shared" si="1"/>
        <v>734</v>
      </c>
      <c r="I16" s="67">
        <f>I15+H16-G16</f>
        <v>18465</v>
      </c>
      <c r="J16" s="33" t="s">
        <v>26</v>
      </c>
      <c r="K16" s="34"/>
      <c r="L16" s="34"/>
      <c r="M16" s="35"/>
      <c r="N16" s="35"/>
      <c r="O16" s="35"/>
    </row>
    <row r="17" spans="1:15" x14ac:dyDescent="0.25">
      <c r="A17" s="16">
        <v>45995</v>
      </c>
      <c r="B17" s="27">
        <v>19325</v>
      </c>
      <c r="C17" s="28"/>
      <c r="D17" s="19">
        <f t="shared" si="0"/>
        <v>19325</v>
      </c>
      <c r="E17" s="29">
        <v>16356</v>
      </c>
      <c r="F17" s="30">
        <v>99</v>
      </c>
      <c r="G17" s="31"/>
      <c r="H17" s="32">
        <f t="shared" si="1"/>
        <v>2969</v>
      </c>
      <c r="I17" s="67">
        <f t="shared" si="2"/>
        <v>21434</v>
      </c>
      <c r="J17" s="33" t="s">
        <v>26</v>
      </c>
      <c r="K17" s="34"/>
      <c r="L17" s="34"/>
      <c r="M17" s="35"/>
      <c r="N17" s="35"/>
      <c r="O17" s="35"/>
    </row>
    <row r="18" spans="1:15" x14ac:dyDescent="0.25">
      <c r="A18" s="16">
        <v>45996</v>
      </c>
      <c r="B18" s="27">
        <v>21142</v>
      </c>
      <c r="C18" s="28"/>
      <c r="D18" s="19">
        <f t="shared" si="0"/>
        <v>21142</v>
      </c>
      <c r="E18" s="29">
        <v>20141</v>
      </c>
      <c r="F18" s="30">
        <v>88</v>
      </c>
      <c r="G18" s="31">
        <v>20000</v>
      </c>
      <c r="H18" s="32">
        <f t="shared" si="1"/>
        <v>1001</v>
      </c>
      <c r="I18" s="67">
        <f t="shared" si="2"/>
        <v>2435</v>
      </c>
      <c r="J18" s="33" t="s">
        <v>26</v>
      </c>
      <c r="K18" s="34"/>
      <c r="L18" s="34"/>
      <c r="M18" s="35"/>
      <c r="N18" s="35"/>
      <c r="O18" s="35"/>
    </row>
    <row r="19" spans="1:15" s="26" customFormat="1" x14ac:dyDescent="0.25">
      <c r="A19" s="16">
        <v>45997</v>
      </c>
      <c r="B19" s="17"/>
      <c r="C19" s="18"/>
      <c r="D19" s="19">
        <f t="shared" si="0"/>
        <v>0</v>
      </c>
      <c r="E19" s="20"/>
      <c r="F19" s="21"/>
      <c r="G19" s="22"/>
      <c r="H19" s="23">
        <f t="shared" si="1"/>
        <v>0</v>
      </c>
      <c r="I19" s="77">
        <f t="shared" si="2"/>
        <v>2435</v>
      </c>
      <c r="J19" s="24"/>
      <c r="K19" s="25"/>
      <c r="L19" s="25"/>
      <c r="M19" s="25"/>
      <c r="N19" s="25"/>
      <c r="O19" s="25"/>
    </row>
    <row r="20" spans="1:15" s="26" customFormat="1" x14ac:dyDescent="0.25">
      <c r="A20" s="16">
        <v>45998</v>
      </c>
      <c r="B20" s="17"/>
      <c r="C20" s="18"/>
      <c r="D20" s="19">
        <f t="shared" si="0"/>
        <v>0</v>
      </c>
      <c r="E20" s="20"/>
      <c r="F20" s="21"/>
      <c r="G20" s="22"/>
      <c r="H20" s="23">
        <f t="shared" si="1"/>
        <v>0</v>
      </c>
      <c r="I20" s="77">
        <f t="shared" si="2"/>
        <v>2435</v>
      </c>
      <c r="J20" s="24"/>
      <c r="K20" s="25"/>
      <c r="L20" s="25"/>
      <c r="M20" s="25"/>
      <c r="N20" s="25"/>
      <c r="O20" s="25"/>
    </row>
    <row r="21" spans="1:15" x14ac:dyDescent="0.25">
      <c r="A21" s="16">
        <v>45999</v>
      </c>
      <c r="B21" s="27">
        <v>15245</v>
      </c>
      <c r="C21" s="28"/>
      <c r="D21" s="19">
        <f t="shared" si="0"/>
        <v>15245</v>
      </c>
      <c r="E21" s="29">
        <v>14517</v>
      </c>
      <c r="F21" s="30">
        <v>84</v>
      </c>
      <c r="G21" s="31"/>
      <c r="H21" s="32">
        <f t="shared" si="1"/>
        <v>728</v>
      </c>
      <c r="I21" s="67">
        <f t="shared" si="2"/>
        <v>3163</v>
      </c>
      <c r="J21" s="33" t="s">
        <v>26</v>
      </c>
      <c r="K21" s="34"/>
      <c r="L21" s="34"/>
      <c r="M21" s="35"/>
      <c r="N21" s="35"/>
      <c r="O21" s="35"/>
    </row>
    <row r="22" spans="1:15" x14ac:dyDescent="0.25">
      <c r="A22" s="16">
        <v>46000</v>
      </c>
      <c r="B22" s="27">
        <v>22044</v>
      </c>
      <c r="C22" s="28"/>
      <c r="D22" s="19">
        <f t="shared" si="0"/>
        <v>22044</v>
      </c>
      <c r="E22" s="29">
        <v>19150</v>
      </c>
      <c r="F22" s="30">
        <v>89</v>
      </c>
      <c r="G22" s="31"/>
      <c r="H22" s="32">
        <f t="shared" si="1"/>
        <v>2894</v>
      </c>
      <c r="I22" s="67">
        <f t="shared" si="2"/>
        <v>6057</v>
      </c>
      <c r="J22" s="33" t="s">
        <v>26</v>
      </c>
      <c r="K22" s="34"/>
      <c r="L22" s="34"/>
      <c r="M22" s="35"/>
      <c r="N22" s="35"/>
      <c r="O22" s="35"/>
    </row>
    <row r="23" spans="1:15" x14ac:dyDescent="0.25">
      <c r="A23" s="16">
        <v>46001</v>
      </c>
      <c r="B23" s="27">
        <v>22330</v>
      </c>
      <c r="C23" s="28"/>
      <c r="D23" s="19">
        <f t="shared" si="0"/>
        <v>22330</v>
      </c>
      <c r="E23" s="29">
        <v>22106</v>
      </c>
      <c r="F23" s="30">
        <v>103</v>
      </c>
      <c r="G23" s="31"/>
      <c r="H23" s="32">
        <f t="shared" si="1"/>
        <v>224</v>
      </c>
      <c r="I23" s="67">
        <f t="shared" si="2"/>
        <v>6281</v>
      </c>
      <c r="J23" s="33" t="s">
        <v>26</v>
      </c>
      <c r="K23" s="34"/>
      <c r="L23" s="34"/>
      <c r="M23" s="35"/>
      <c r="N23" s="35"/>
      <c r="O23" s="35"/>
    </row>
    <row r="24" spans="1:15" x14ac:dyDescent="0.25">
      <c r="A24" s="16">
        <v>46002</v>
      </c>
      <c r="B24" s="27">
        <v>19695</v>
      </c>
      <c r="C24" s="28"/>
      <c r="D24" s="19">
        <f t="shared" si="0"/>
        <v>19695</v>
      </c>
      <c r="E24" s="29">
        <v>19448</v>
      </c>
      <c r="F24" s="30">
        <v>103</v>
      </c>
      <c r="G24" s="31"/>
      <c r="H24" s="32">
        <f t="shared" si="1"/>
        <v>247</v>
      </c>
      <c r="I24" s="67">
        <f t="shared" si="2"/>
        <v>6528</v>
      </c>
      <c r="J24" s="33" t="s">
        <v>26</v>
      </c>
      <c r="K24" s="34"/>
      <c r="L24" s="34"/>
      <c r="M24" s="35"/>
      <c r="N24" s="35"/>
      <c r="O24" s="35"/>
    </row>
    <row r="25" spans="1:15" x14ac:dyDescent="0.25">
      <c r="A25" s="16">
        <v>46003</v>
      </c>
      <c r="B25" s="27">
        <v>18540</v>
      </c>
      <c r="C25" s="28"/>
      <c r="D25" s="19">
        <f t="shared" si="0"/>
        <v>18540</v>
      </c>
      <c r="E25" s="29">
        <v>17426</v>
      </c>
      <c r="F25" s="30">
        <v>88</v>
      </c>
      <c r="G25" s="31"/>
      <c r="H25" s="32">
        <f t="shared" si="1"/>
        <v>1114</v>
      </c>
      <c r="I25" s="67">
        <f t="shared" si="2"/>
        <v>7642</v>
      </c>
      <c r="J25" s="33" t="s">
        <v>26</v>
      </c>
      <c r="K25" s="34"/>
      <c r="L25" s="34"/>
      <c r="M25" s="35"/>
      <c r="N25" s="35"/>
      <c r="O25" s="35"/>
    </row>
    <row r="26" spans="1:15" s="26" customFormat="1" x14ac:dyDescent="0.25">
      <c r="A26" s="16">
        <v>46004</v>
      </c>
      <c r="B26" s="17"/>
      <c r="C26" s="18"/>
      <c r="D26" s="19">
        <f t="shared" si="0"/>
        <v>0</v>
      </c>
      <c r="E26" s="20"/>
      <c r="F26" s="21"/>
      <c r="G26" s="22"/>
      <c r="H26" s="23">
        <f t="shared" si="1"/>
        <v>0</v>
      </c>
      <c r="I26" s="77">
        <f t="shared" si="2"/>
        <v>7642</v>
      </c>
      <c r="J26" s="24"/>
      <c r="K26" s="25"/>
      <c r="L26" s="25"/>
      <c r="M26" s="25"/>
      <c r="N26" s="25"/>
      <c r="O26" s="25"/>
    </row>
    <row r="27" spans="1:15" s="26" customFormat="1" x14ac:dyDescent="0.25">
      <c r="A27" s="16">
        <v>46005</v>
      </c>
      <c r="B27" s="17"/>
      <c r="C27" s="18"/>
      <c r="D27" s="19">
        <f t="shared" si="0"/>
        <v>0</v>
      </c>
      <c r="E27" s="20"/>
      <c r="F27" s="21"/>
      <c r="G27" s="22"/>
      <c r="H27" s="23">
        <f t="shared" si="1"/>
        <v>0</v>
      </c>
      <c r="I27" s="77">
        <f t="shared" si="2"/>
        <v>7642</v>
      </c>
      <c r="J27" s="24"/>
      <c r="K27" s="25"/>
      <c r="L27" s="25"/>
      <c r="M27" s="25"/>
      <c r="N27" s="25"/>
      <c r="O27" s="25"/>
    </row>
    <row r="28" spans="1:15" x14ac:dyDescent="0.25">
      <c r="A28" s="16">
        <v>46006</v>
      </c>
      <c r="B28" s="27">
        <v>19727</v>
      </c>
      <c r="C28" s="28"/>
      <c r="D28" s="19">
        <f t="shared" si="0"/>
        <v>19727</v>
      </c>
      <c r="E28" s="29">
        <v>16954</v>
      </c>
      <c r="F28" s="30">
        <v>101</v>
      </c>
      <c r="G28" s="31"/>
      <c r="H28" s="32">
        <f t="shared" si="1"/>
        <v>2773</v>
      </c>
      <c r="I28" s="67">
        <f t="shared" si="2"/>
        <v>10415</v>
      </c>
      <c r="J28" s="33" t="s">
        <v>26</v>
      </c>
      <c r="K28" s="34"/>
      <c r="L28" s="34"/>
      <c r="M28" s="35"/>
      <c r="N28" s="35"/>
      <c r="O28" s="35"/>
    </row>
    <row r="29" spans="1:15" x14ac:dyDescent="0.25">
      <c r="A29" s="16">
        <v>46007</v>
      </c>
      <c r="B29" s="27">
        <v>20300</v>
      </c>
      <c r="C29" s="28"/>
      <c r="D29" s="19">
        <f t="shared" si="0"/>
        <v>20300</v>
      </c>
      <c r="E29" s="29">
        <v>18946</v>
      </c>
      <c r="F29" s="30">
        <v>100</v>
      </c>
      <c r="G29" s="31"/>
      <c r="H29" s="32">
        <f t="shared" si="1"/>
        <v>1354</v>
      </c>
      <c r="I29" s="67">
        <f t="shared" si="2"/>
        <v>11769</v>
      </c>
      <c r="J29" s="33" t="s">
        <v>26</v>
      </c>
      <c r="K29" s="34"/>
      <c r="L29" s="34"/>
      <c r="M29" s="35"/>
      <c r="N29" s="35"/>
      <c r="O29" s="35"/>
    </row>
    <row r="30" spans="1:15" x14ac:dyDescent="0.25">
      <c r="A30" s="16">
        <v>46008</v>
      </c>
      <c r="B30" s="27">
        <v>21746</v>
      </c>
      <c r="C30" s="28"/>
      <c r="D30" s="19">
        <f t="shared" si="0"/>
        <v>21746</v>
      </c>
      <c r="E30" s="29">
        <v>21218</v>
      </c>
      <c r="F30" s="30">
        <v>99</v>
      </c>
      <c r="G30" s="31">
        <v>8000</v>
      </c>
      <c r="H30" s="32">
        <f t="shared" si="1"/>
        <v>528</v>
      </c>
      <c r="I30" s="67">
        <f t="shared" si="2"/>
        <v>4297</v>
      </c>
      <c r="J30" s="33" t="s">
        <v>26</v>
      </c>
      <c r="K30" s="34"/>
      <c r="L30" s="34"/>
      <c r="M30" s="35"/>
      <c r="N30" s="35"/>
      <c r="O30" s="35"/>
    </row>
    <row r="31" spans="1:15" x14ac:dyDescent="0.25">
      <c r="A31" s="16">
        <v>46009</v>
      </c>
      <c r="B31" s="27">
        <v>24240</v>
      </c>
      <c r="C31" s="28"/>
      <c r="D31" s="19">
        <f t="shared" si="0"/>
        <v>24240</v>
      </c>
      <c r="E31" s="29">
        <v>22745</v>
      </c>
      <c r="F31" s="30">
        <v>115</v>
      </c>
      <c r="G31" s="31"/>
      <c r="H31" s="32">
        <f t="shared" si="1"/>
        <v>1495</v>
      </c>
      <c r="I31" s="67">
        <f t="shared" si="2"/>
        <v>5792</v>
      </c>
      <c r="J31" s="33" t="s">
        <v>26</v>
      </c>
      <c r="K31" s="34"/>
      <c r="L31" s="34"/>
      <c r="M31" s="35"/>
      <c r="N31" s="35"/>
      <c r="O31" s="35"/>
    </row>
    <row r="32" spans="1:15" x14ac:dyDescent="0.25">
      <c r="A32" s="16">
        <v>46010</v>
      </c>
      <c r="B32" s="27">
        <v>21718</v>
      </c>
      <c r="C32" s="28"/>
      <c r="D32" s="19">
        <f t="shared" si="0"/>
        <v>21718</v>
      </c>
      <c r="E32" s="29">
        <v>20434</v>
      </c>
      <c r="F32" s="30">
        <v>104</v>
      </c>
      <c r="G32" s="31"/>
      <c r="H32" s="32">
        <f t="shared" si="1"/>
        <v>1284</v>
      </c>
      <c r="I32" s="67">
        <f t="shared" si="2"/>
        <v>7076</v>
      </c>
      <c r="J32" s="33" t="s">
        <v>26</v>
      </c>
      <c r="K32" s="34"/>
      <c r="L32" s="34"/>
      <c r="M32" s="35"/>
      <c r="N32" s="35"/>
      <c r="O32" s="35"/>
    </row>
    <row r="33" spans="1:15" s="26" customFormat="1" x14ac:dyDescent="0.25">
      <c r="A33" s="16">
        <v>46011</v>
      </c>
      <c r="B33" s="17"/>
      <c r="C33" s="18"/>
      <c r="D33" s="19">
        <f t="shared" si="0"/>
        <v>0</v>
      </c>
      <c r="E33" s="20"/>
      <c r="F33" s="21"/>
      <c r="G33" s="22"/>
      <c r="H33" s="23">
        <f t="shared" si="1"/>
        <v>0</v>
      </c>
      <c r="I33" s="77">
        <f t="shared" si="2"/>
        <v>7076</v>
      </c>
      <c r="J33" s="24"/>
      <c r="K33" s="25"/>
      <c r="L33" s="25"/>
      <c r="M33" s="25"/>
      <c r="N33" s="25"/>
      <c r="O33" s="25"/>
    </row>
    <row r="34" spans="1:15" s="26" customFormat="1" x14ac:dyDescent="0.25">
      <c r="A34" s="16">
        <v>46012</v>
      </c>
      <c r="B34" s="17"/>
      <c r="C34" s="18"/>
      <c r="D34" s="19">
        <f t="shared" si="0"/>
        <v>0</v>
      </c>
      <c r="E34" s="20"/>
      <c r="F34" s="21"/>
      <c r="G34" s="22"/>
      <c r="H34" s="23">
        <f t="shared" si="1"/>
        <v>0</v>
      </c>
      <c r="I34" s="77">
        <f t="shared" si="2"/>
        <v>7076</v>
      </c>
      <c r="J34" s="24"/>
      <c r="K34" s="25"/>
      <c r="L34" s="25"/>
      <c r="M34" s="25"/>
      <c r="N34" s="25"/>
      <c r="O34" s="25"/>
    </row>
    <row r="35" spans="1:15" x14ac:dyDescent="0.25">
      <c r="A35" s="16">
        <v>46013</v>
      </c>
      <c r="B35" s="27">
        <v>21005</v>
      </c>
      <c r="C35" s="28"/>
      <c r="D35" s="19">
        <f t="shared" si="0"/>
        <v>21005</v>
      </c>
      <c r="E35" s="29">
        <v>18860</v>
      </c>
      <c r="F35" s="30">
        <v>109</v>
      </c>
      <c r="G35" s="31"/>
      <c r="H35" s="32">
        <f t="shared" si="1"/>
        <v>2145</v>
      </c>
      <c r="I35" s="67">
        <f t="shared" si="2"/>
        <v>9221</v>
      </c>
      <c r="J35" s="33" t="s">
        <v>26</v>
      </c>
      <c r="K35" s="34"/>
      <c r="L35" s="34"/>
      <c r="M35" s="35"/>
      <c r="N35" s="35"/>
      <c r="O35" s="35"/>
    </row>
    <row r="36" spans="1:15" x14ac:dyDescent="0.25">
      <c r="A36" s="16">
        <v>46014</v>
      </c>
      <c r="B36" s="27">
        <v>23284</v>
      </c>
      <c r="C36" s="28"/>
      <c r="D36" s="19">
        <f t="shared" si="0"/>
        <v>23284</v>
      </c>
      <c r="E36" s="29">
        <v>23214</v>
      </c>
      <c r="F36" s="30">
        <v>113</v>
      </c>
      <c r="G36" s="31"/>
      <c r="H36" s="32">
        <f t="shared" si="1"/>
        <v>70</v>
      </c>
      <c r="I36" s="67">
        <f t="shared" si="2"/>
        <v>9291</v>
      </c>
      <c r="J36" s="33" t="s">
        <v>26</v>
      </c>
      <c r="K36" s="34"/>
      <c r="L36" s="34"/>
      <c r="M36" s="35"/>
      <c r="N36" s="35"/>
      <c r="O36" s="35"/>
    </row>
    <row r="37" spans="1:15" x14ac:dyDescent="0.25">
      <c r="A37" s="16">
        <v>46015</v>
      </c>
      <c r="B37" s="27">
        <v>28919</v>
      </c>
      <c r="C37" s="28"/>
      <c r="D37" s="19">
        <f t="shared" si="0"/>
        <v>28919</v>
      </c>
      <c r="E37" s="29">
        <v>26189</v>
      </c>
      <c r="F37" s="30">
        <v>119</v>
      </c>
      <c r="G37" s="31"/>
      <c r="H37" s="32">
        <f t="shared" si="1"/>
        <v>2730</v>
      </c>
      <c r="I37" s="67">
        <f t="shared" si="2"/>
        <v>12021</v>
      </c>
      <c r="J37" s="33" t="s">
        <v>26</v>
      </c>
      <c r="K37" s="34"/>
      <c r="L37" s="34"/>
      <c r="M37" s="35"/>
      <c r="N37" s="35"/>
      <c r="O37" s="35"/>
    </row>
    <row r="38" spans="1:15" x14ac:dyDescent="0.25">
      <c r="A38" s="16">
        <v>46016</v>
      </c>
      <c r="B38" s="27">
        <v>22462</v>
      </c>
      <c r="C38" s="28"/>
      <c r="D38" s="19">
        <f t="shared" si="0"/>
        <v>22462</v>
      </c>
      <c r="E38" s="29">
        <v>21458</v>
      </c>
      <c r="F38" s="30">
        <v>100</v>
      </c>
      <c r="G38" s="31"/>
      <c r="H38" s="32">
        <f t="shared" si="1"/>
        <v>1004</v>
      </c>
      <c r="I38" s="67">
        <f t="shared" si="2"/>
        <v>13025</v>
      </c>
      <c r="J38" s="33" t="s">
        <v>26</v>
      </c>
      <c r="K38" s="34"/>
      <c r="L38" s="34"/>
      <c r="M38" s="35"/>
      <c r="N38" s="35"/>
      <c r="O38" s="35"/>
    </row>
    <row r="39" spans="1:15" x14ac:dyDescent="0.25">
      <c r="A39" s="16">
        <v>46017</v>
      </c>
      <c r="B39" s="27">
        <v>19997</v>
      </c>
      <c r="C39" s="28"/>
      <c r="D39" s="19">
        <f t="shared" si="0"/>
        <v>19997</v>
      </c>
      <c r="E39" s="29">
        <v>19592</v>
      </c>
      <c r="F39" s="30">
        <v>97</v>
      </c>
      <c r="G39" s="31">
        <v>264</v>
      </c>
      <c r="H39" s="32">
        <f t="shared" si="1"/>
        <v>405</v>
      </c>
      <c r="I39" s="67">
        <f t="shared" si="2"/>
        <v>13166</v>
      </c>
      <c r="J39" s="33" t="s">
        <v>26</v>
      </c>
      <c r="K39" s="34"/>
      <c r="L39" s="34"/>
      <c r="M39" s="35"/>
      <c r="N39" s="35"/>
      <c r="O39" s="35"/>
    </row>
    <row r="40" spans="1:15" s="26" customFormat="1" x14ac:dyDescent="0.25">
      <c r="A40" s="16">
        <v>46018</v>
      </c>
      <c r="B40" s="17"/>
      <c r="C40" s="18"/>
      <c r="D40" s="19">
        <f t="shared" si="0"/>
        <v>0</v>
      </c>
      <c r="E40" s="20"/>
      <c r="F40" s="21"/>
      <c r="G40" s="22"/>
      <c r="H40" s="23">
        <f t="shared" si="1"/>
        <v>0</v>
      </c>
      <c r="I40" s="77">
        <f t="shared" si="2"/>
        <v>13166</v>
      </c>
      <c r="J40" s="24"/>
      <c r="K40" s="25"/>
      <c r="L40" s="25"/>
      <c r="M40" s="25"/>
      <c r="N40" s="25"/>
      <c r="O40" s="25"/>
    </row>
    <row r="41" spans="1:15" s="26" customFormat="1" x14ac:dyDescent="0.25">
      <c r="A41" s="16">
        <v>46019</v>
      </c>
      <c r="B41" s="17"/>
      <c r="C41" s="18"/>
      <c r="D41" s="19">
        <f t="shared" si="0"/>
        <v>0</v>
      </c>
      <c r="E41" s="20"/>
      <c r="F41" s="21"/>
      <c r="G41" s="22"/>
      <c r="H41" s="23">
        <f t="shared" si="1"/>
        <v>0</v>
      </c>
      <c r="I41" s="77">
        <f t="shared" si="2"/>
        <v>13166</v>
      </c>
      <c r="J41" s="24"/>
      <c r="K41" s="25"/>
      <c r="L41" s="25"/>
      <c r="M41" s="25"/>
      <c r="N41" s="25"/>
      <c r="O41" s="25"/>
    </row>
    <row r="42" spans="1:15" x14ac:dyDescent="0.25">
      <c r="A42" s="16">
        <v>46020</v>
      </c>
      <c r="B42" s="27">
        <v>21076</v>
      </c>
      <c r="C42" s="28"/>
      <c r="D42" s="19">
        <f t="shared" si="0"/>
        <v>21076</v>
      </c>
      <c r="E42" s="29">
        <v>19013</v>
      </c>
      <c r="F42" s="30">
        <v>80</v>
      </c>
      <c r="G42" s="31">
        <v>10000</v>
      </c>
      <c r="H42" s="32">
        <f t="shared" si="1"/>
        <v>2063</v>
      </c>
      <c r="I42" s="67">
        <f t="shared" si="2"/>
        <v>5229</v>
      </c>
      <c r="J42" s="33" t="s">
        <v>26</v>
      </c>
      <c r="K42" s="34"/>
      <c r="L42" s="34"/>
      <c r="M42" s="35"/>
      <c r="N42" s="35"/>
      <c r="O42" s="35"/>
    </row>
    <row r="43" spans="1:15" x14ac:dyDescent="0.25">
      <c r="A43" s="16">
        <v>46021</v>
      </c>
      <c r="B43" s="27">
        <v>14032</v>
      </c>
      <c r="C43" s="28"/>
      <c r="D43" s="19">
        <f t="shared" si="0"/>
        <v>14032</v>
      </c>
      <c r="E43" s="29">
        <v>11647</v>
      </c>
      <c r="F43" s="30">
        <v>51</v>
      </c>
      <c r="G43" s="31"/>
      <c r="H43" s="32">
        <f t="shared" si="1"/>
        <v>2385</v>
      </c>
      <c r="I43" s="67">
        <f t="shared" si="2"/>
        <v>7614</v>
      </c>
      <c r="J43" s="33" t="s">
        <v>26</v>
      </c>
      <c r="K43" s="34"/>
      <c r="L43" s="34"/>
      <c r="M43" s="35"/>
      <c r="N43" s="35"/>
      <c r="O43" s="35"/>
    </row>
    <row r="44" spans="1:15" s="26" customFormat="1" x14ac:dyDescent="0.25">
      <c r="A44" s="16">
        <v>46022</v>
      </c>
      <c r="B44" s="17"/>
      <c r="C44" s="18"/>
      <c r="D44" s="19">
        <f t="shared" si="0"/>
        <v>0</v>
      </c>
      <c r="E44" s="20"/>
      <c r="F44" s="21"/>
      <c r="G44" s="22"/>
      <c r="H44" s="23">
        <f t="shared" si="1"/>
        <v>0</v>
      </c>
      <c r="I44" s="77">
        <f t="shared" si="2"/>
        <v>7614</v>
      </c>
      <c r="J44" s="24"/>
      <c r="K44" s="25"/>
      <c r="L44" s="25"/>
      <c r="M44" s="25"/>
      <c r="N44" s="25"/>
      <c r="O44" s="25"/>
    </row>
    <row r="45" spans="1:15" ht="18.75" x14ac:dyDescent="0.3">
      <c r="A45" s="27"/>
      <c r="B45" s="36">
        <f t="shared" ref="B45:G45" si="3">SUM(B14:B44)</f>
        <v>462169</v>
      </c>
      <c r="C45" s="36">
        <f t="shared" si="3"/>
        <v>0</v>
      </c>
      <c r="D45" s="36">
        <f t="shared" si="3"/>
        <v>462169</v>
      </c>
      <c r="E45" s="36">
        <f t="shared" si="3"/>
        <v>431167</v>
      </c>
      <c r="F45" s="36">
        <f t="shared" si="3"/>
        <v>2155</v>
      </c>
      <c r="G45" s="36">
        <f t="shared" si="3"/>
        <v>38264</v>
      </c>
      <c r="H45" s="37"/>
      <c r="I45" s="83"/>
      <c r="J45" s="35"/>
      <c r="K45" s="35"/>
      <c r="L45" s="35"/>
      <c r="M45" s="35"/>
      <c r="N45" s="35"/>
      <c r="O45" s="35"/>
    </row>
    <row r="47" spans="1:15" x14ac:dyDescent="0.25">
      <c r="C47" s="38" t="s">
        <v>19</v>
      </c>
      <c r="D47" s="9">
        <f>B8</f>
        <v>22</v>
      </c>
    </row>
    <row r="48" spans="1:15" x14ac:dyDescent="0.25">
      <c r="C48" s="38" t="s">
        <v>20</v>
      </c>
      <c r="D48" s="39">
        <f>D45/D47</f>
        <v>21007.68181818182</v>
      </c>
    </row>
    <row r="49" spans="1:10" s="7" customFormat="1" x14ac:dyDescent="0.25">
      <c r="A49" s="2"/>
      <c r="B49" s="2"/>
      <c r="C49" s="38" t="s">
        <v>21</v>
      </c>
      <c r="D49" s="39">
        <f>B45/F45</f>
        <v>214.46357308584686</v>
      </c>
      <c r="F49" s="2"/>
      <c r="G49" s="5"/>
      <c r="H49"/>
      <c r="I49"/>
      <c r="J49"/>
    </row>
  </sheetData>
  <sheetProtection algorithmName="SHA-512" hashValue="fW1JHZFUU/UX71f0DROTzYqPcFCm8mqLs3bOxea5Ldn22yQQVv65Y4JSRhFUNxJ/FcD2vCDJhrdBRYv9WB2RAw==" saltValue="VoKuykLAfCDrhL4dn7cDDQ==" spinCount="100000" sheet="1" objects="1" scenarios="1"/>
  <protectedRanges>
    <protectedRange sqref="J14:O44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9"/>
  <sheetViews>
    <sheetView zoomScaleNormal="100" workbookViewId="0">
      <selection activeCell="F43" sqref="F43"/>
    </sheetView>
  </sheetViews>
  <sheetFormatPr defaultColWidth="8.85546875" defaultRowHeight="15.75" x14ac:dyDescent="0.25"/>
  <cols>
    <col min="1" max="1" width="13.7109375" style="2" bestFit="1" customWidth="1"/>
    <col min="2" max="2" width="15.7109375" style="2" customWidth="1"/>
    <col min="3" max="3" width="12" style="2" bestFit="1" customWidth="1"/>
    <col min="4" max="4" width="14.85546875" style="2" bestFit="1" customWidth="1"/>
    <col min="5" max="5" width="16.5703125" style="7" bestFit="1" customWidth="1"/>
    <col min="6" max="6" width="13.28515625" style="2" customWidth="1"/>
    <col min="7" max="7" width="13.5703125" style="5" bestFit="1" customWidth="1"/>
    <col min="8" max="8" width="11.5703125" bestFit="1" customWidth="1"/>
    <col min="9" max="9" width="17.7109375" customWidth="1"/>
    <col min="10" max="10" width="12.7109375" bestFit="1" customWidth="1"/>
    <col min="11" max="11" width="14.28515625" bestFit="1" customWidth="1"/>
    <col min="13" max="13" width="12.7109375" bestFit="1" customWidth="1"/>
    <col min="14" max="14" width="9.28515625" bestFit="1" customWidth="1"/>
  </cols>
  <sheetData>
    <row r="2" spans="1:15" ht="18.75" x14ac:dyDescent="0.3">
      <c r="A2" s="1" t="s">
        <v>0</v>
      </c>
      <c r="D2" s="3" t="s">
        <v>1</v>
      </c>
      <c r="E2" s="4" t="s">
        <v>2</v>
      </c>
      <c r="F2" s="3"/>
      <c r="G2" s="5" t="s">
        <v>3</v>
      </c>
      <c r="I2" s="6" t="s">
        <v>4</v>
      </c>
    </row>
    <row r="3" spans="1:15" ht="18.75" x14ac:dyDescent="0.3">
      <c r="A3" s="47">
        <f>Декабрь25!I3</f>
        <v>7614</v>
      </c>
      <c r="B3" s="7"/>
      <c r="C3" s="7"/>
      <c r="D3" s="4">
        <f>D45</f>
        <v>316314</v>
      </c>
      <c r="E3" s="4">
        <f>E45</f>
        <v>293279</v>
      </c>
      <c r="F3" s="4"/>
      <c r="G3" s="4">
        <f>G45</f>
        <v>17000</v>
      </c>
      <c r="I3" s="49">
        <f>I44</f>
        <v>13649</v>
      </c>
    </row>
    <row r="5" spans="1:15" x14ac:dyDescent="0.25">
      <c r="A5" s="2" t="s">
        <v>5</v>
      </c>
    </row>
    <row r="7" spans="1:15" ht="21" x14ac:dyDescent="0.35">
      <c r="A7" s="2">
        <v>2025</v>
      </c>
      <c r="B7" s="8" t="s">
        <v>37</v>
      </c>
    </row>
    <row r="8" spans="1:15" x14ac:dyDescent="0.25">
      <c r="A8" s="2" t="s">
        <v>6</v>
      </c>
      <c r="B8" s="9">
        <f>NETWORKDAYS(A14,A44,A14:A24)</f>
        <v>15</v>
      </c>
    </row>
    <row r="10" spans="1:15" ht="18.75" x14ac:dyDescent="0.3">
      <c r="A10" s="10" t="s">
        <v>7</v>
      </c>
      <c r="B10" s="89" t="str">
        <f>Декабрь25!B10</f>
        <v>Смола</v>
      </c>
      <c r="C10" s="90"/>
      <c r="D10" s="90"/>
    </row>
    <row r="12" spans="1:15" ht="47.25" x14ac:dyDescent="0.25">
      <c r="A12" s="11" t="s">
        <v>8</v>
      </c>
      <c r="B12" s="11" t="s">
        <v>1</v>
      </c>
      <c r="C12" s="11" t="s">
        <v>9</v>
      </c>
      <c r="D12" s="11" t="s">
        <v>10</v>
      </c>
      <c r="E12" s="12" t="s">
        <v>11</v>
      </c>
      <c r="F12" s="11" t="s">
        <v>12</v>
      </c>
      <c r="G12" s="11" t="s">
        <v>3</v>
      </c>
      <c r="H12" s="11" t="s">
        <v>13</v>
      </c>
      <c r="I12" s="11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16</v>
      </c>
      <c r="O12" s="13" t="s">
        <v>17</v>
      </c>
    </row>
    <row r="13" spans="1:15" x14ac:dyDescent="0.25">
      <c r="A13" s="11"/>
      <c r="B13" s="11"/>
      <c r="C13" s="11"/>
      <c r="D13" s="11"/>
      <c r="E13" s="12"/>
      <c r="F13" s="11"/>
      <c r="G13" s="11"/>
      <c r="H13" s="14"/>
      <c r="I13" s="57">
        <f>A3</f>
        <v>7614</v>
      </c>
      <c r="J13" s="15"/>
      <c r="K13" s="15"/>
      <c r="L13" s="15"/>
      <c r="M13" s="15"/>
      <c r="N13" s="15"/>
      <c r="O13" s="15"/>
    </row>
    <row r="14" spans="1:15" s="26" customFormat="1" x14ac:dyDescent="0.25">
      <c r="A14" s="16">
        <v>46023</v>
      </c>
      <c r="B14" s="17"/>
      <c r="C14" s="18"/>
      <c r="D14" s="19">
        <f t="shared" ref="D14:D44" si="0">B14-C14</f>
        <v>0</v>
      </c>
      <c r="E14" s="20"/>
      <c r="F14" s="21"/>
      <c r="G14" s="22"/>
      <c r="H14" s="23">
        <f t="shared" ref="H14:H44" si="1">D14-E14</f>
        <v>0</v>
      </c>
      <c r="I14" s="77">
        <f t="shared" ref="I14:I44" si="2">I13+H14-G14</f>
        <v>7614</v>
      </c>
      <c r="J14" s="24"/>
      <c r="K14" s="25"/>
      <c r="L14" s="25"/>
      <c r="M14" s="25"/>
      <c r="N14" s="25"/>
      <c r="O14" s="25"/>
    </row>
    <row r="15" spans="1:15" s="26" customFormat="1" x14ac:dyDescent="0.25">
      <c r="A15" s="16">
        <v>46024</v>
      </c>
      <c r="B15" s="17"/>
      <c r="C15" s="18"/>
      <c r="D15" s="19">
        <f t="shared" si="0"/>
        <v>0</v>
      </c>
      <c r="E15" s="20"/>
      <c r="F15" s="21"/>
      <c r="G15" s="22"/>
      <c r="H15" s="23">
        <f t="shared" si="1"/>
        <v>0</v>
      </c>
      <c r="I15" s="77">
        <f t="shared" si="2"/>
        <v>7614</v>
      </c>
      <c r="J15" s="24"/>
      <c r="K15" s="25"/>
      <c r="L15" s="25"/>
      <c r="M15" s="25"/>
      <c r="N15" s="25"/>
      <c r="O15" s="25"/>
    </row>
    <row r="16" spans="1:15" s="26" customFormat="1" x14ac:dyDescent="0.25">
      <c r="A16" s="16">
        <v>46025</v>
      </c>
      <c r="B16" s="17"/>
      <c r="C16" s="18"/>
      <c r="D16" s="19">
        <f t="shared" si="0"/>
        <v>0</v>
      </c>
      <c r="E16" s="20"/>
      <c r="F16" s="21"/>
      <c r="G16" s="22"/>
      <c r="H16" s="23">
        <f t="shared" si="1"/>
        <v>0</v>
      </c>
      <c r="I16" s="77">
        <f t="shared" si="2"/>
        <v>7614</v>
      </c>
      <c r="J16" s="24"/>
      <c r="K16" s="25"/>
      <c r="L16" s="25"/>
      <c r="M16" s="25"/>
      <c r="N16" s="25"/>
      <c r="O16" s="25"/>
    </row>
    <row r="17" spans="1:15" s="26" customFormat="1" x14ac:dyDescent="0.25">
      <c r="A17" s="16">
        <v>46026</v>
      </c>
      <c r="B17" s="17"/>
      <c r="C17" s="18"/>
      <c r="D17" s="19">
        <f t="shared" si="0"/>
        <v>0</v>
      </c>
      <c r="E17" s="20"/>
      <c r="F17" s="21"/>
      <c r="G17" s="22"/>
      <c r="H17" s="23">
        <f t="shared" si="1"/>
        <v>0</v>
      </c>
      <c r="I17" s="77">
        <f t="shared" si="2"/>
        <v>7614</v>
      </c>
      <c r="J17" s="24"/>
      <c r="K17" s="25"/>
      <c r="L17" s="25"/>
      <c r="M17" s="25"/>
      <c r="N17" s="25"/>
      <c r="O17" s="25"/>
    </row>
    <row r="18" spans="1:15" s="26" customFormat="1" x14ac:dyDescent="0.25">
      <c r="A18" s="16">
        <v>46027</v>
      </c>
      <c r="B18" s="17"/>
      <c r="C18" s="18"/>
      <c r="D18" s="19">
        <f t="shared" si="0"/>
        <v>0</v>
      </c>
      <c r="E18" s="20"/>
      <c r="F18" s="21"/>
      <c r="G18" s="22"/>
      <c r="H18" s="23">
        <f t="shared" si="1"/>
        <v>0</v>
      </c>
      <c r="I18" s="77">
        <f t="shared" si="2"/>
        <v>7614</v>
      </c>
      <c r="J18" s="24"/>
      <c r="K18" s="25"/>
      <c r="L18" s="25"/>
      <c r="M18" s="25"/>
      <c r="N18" s="25"/>
      <c r="O18" s="25"/>
    </row>
    <row r="19" spans="1:15" s="26" customFormat="1" x14ac:dyDescent="0.25">
      <c r="A19" s="16">
        <v>46028</v>
      </c>
      <c r="B19" s="17"/>
      <c r="C19" s="18"/>
      <c r="D19" s="19">
        <f t="shared" si="0"/>
        <v>0</v>
      </c>
      <c r="E19" s="20"/>
      <c r="F19" s="21"/>
      <c r="G19" s="22"/>
      <c r="H19" s="23">
        <f t="shared" si="1"/>
        <v>0</v>
      </c>
      <c r="I19" s="77">
        <f t="shared" si="2"/>
        <v>7614</v>
      </c>
      <c r="J19" s="24"/>
      <c r="K19" s="25"/>
      <c r="L19" s="25"/>
      <c r="M19" s="25"/>
      <c r="N19" s="25"/>
      <c r="O19" s="25"/>
    </row>
    <row r="20" spans="1:15" s="26" customFormat="1" x14ac:dyDescent="0.25">
      <c r="A20" s="16">
        <v>46029</v>
      </c>
      <c r="B20" s="17"/>
      <c r="C20" s="18"/>
      <c r="D20" s="19">
        <f t="shared" si="0"/>
        <v>0</v>
      </c>
      <c r="E20" s="20"/>
      <c r="F20" s="21"/>
      <c r="G20" s="22"/>
      <c r="H20" s="23">
        <f t="shared" si="1"/>
        <v>0</v>
      </c>
      <c r="I20" s="77">
        <f t="shared" si="2"/>
        <v>7614</v>
      </c>
      <c r="J20" s="24"/>
      <c r="K20" s="25"/>
      <c r="L20" s="25"/>
      <c r="M20" s="25"/>
      <c r="N20" s="25"/>
      <c r="O20" s="25"/>
    </row>
    <row r="21" spans="1:15" s="26" customFormat="1" x14ac:dyDescent="0.25">
      <c r="A21" s="16">
        <v>46030</v>
      </c>
      <c r="B21" s="17"/>
      <c r="C21" s="18"/>
      <c r="D21" s="19">
        <f t="shared" si="0"/>
        <v>0</v>
      </c>
      <c r="E21" s="20"/>
      <c r="F21" s="21"/>
      <c r="G21" s="22"/>
      <c r="H21" s="23">
        <f t="shared" si="1"/>
        <v>0</v>
      </c>
      <c r="I21" s="77">
        <f t="shared" si="2"/>
        <v>7614</v>
      </c>
      <c r="J21" s="24"/>
      <c r="K21" s="25"/>
      <c r="L21" s="25"/>
      <c r="M21" s="25"/>
      <c r="N21" s="25"/>
      <c r="O21" s="25"/>
    </row>
    <row r="22" spans="1:15" s="26" customFormat="1" x14ac:dyDescent="0.25">
      <c r="A22" s="16">
        <v>46031</v>
      </c>
      <c r="B22" s="17"/>
      <c r="C22" s="18"/>
      <c r="D22" s="19">
        <f t="shared" si="0"/>
        <v>0</v>
      </c>
      <c r="E22" s="20"/>
      <c r="F22" s="21"/>
      <c r="G22" s="22"/>
      <c r="H22" s="23">
        <f t="shared" si="1"/>
        <v>0</v>
      </c>
      <c r="I22" s="77">
        <f t="shared" si="2"/>
        <v>7614</v>
      </c>
      <c r="J22" s="24"/>
      <c r="K22" s="25"/>
      <c r="L22" s="25"/>
      <c r="M22" s="25"/>
      <c r="N22" s="25"/>
      <c r="O22" s="25"/>
    </row>
    <row r="23" spans="1:15" s="26" customFormat="1" x14ac:dyDescent="0.25">
      <c r="A23" s="16">
        <v>46032</v>
      </c>
      <c r="B23" s="17"/>
      <c r="C23" s="18"/>
      <c r="D23" s="19">
        <f t="shared" si="0"/>
        <v>0</v>
      </c>
      <c r="E23" s="20"/>
      <c r="F23" s="21"/>
      <c r="G23" s="22"/>
      <c r="H23" s="23">
        <f t="shared" si="1"/>
        <v>0</v>
      </c>
      <c r="I23" s="77">
        <f t="shared" si="2"/>
        <v>7614</v>
      </c>
      <c r="J23" s="24"/>
      <c r="K23" s="25"/>
      <c r="L23" s="25"/>
      <c r="M23" s="25"/>
      <c r="N23" s="25"/>
      <c r="O23" s="25"/>
    </row>
    <row r="24" spans="1:15" s="26" customFormat="1" x14ac:dyDescent="0.25">
      <c r="A24" s="16">
        <v>46033</v>
      </c>
      <c r="B24" s="17"/>
      <c r="C24" s="18"/>
      <c r="D24" s="19">
        <f t="shared" si="0"/>
        <v>0</v>
      </c>
      <c r="E24" s="20"/>
      <c r="F24" s="21"/>
      <c r="G24" s="22"/>
      <c r="H24" s="23">
        <f t="shared" si="1"/>
        <v>0</v>
      </c>
      <c r="I24" s="77">
        <f t="shared" si="2"/>
        <v>7614</v>
      </c>
      <c r="J24" s="24"/>
      <c r="K24" s="25"/>
      <c r="L24" s="25"/>
      <c r="M24" s="25"/>
      <c r="N24" s="25"/>
      <c r="O24" s="25"/>
    </row>
    <row r="25" spans="1:15" x14ac:dyDescent="0.25">
      <c r="A25" s="16">
        <v>46034</v>
      </c>
      <c r="B25" s="27">
        <v>14962</v>
      </c>
      <c r="C25" s="28"/>
      <c r="D25" s="19">
        <f t="shared" si="0"/>
        <v>14962</v>
      </c>
      <c r="E25" s="29">
        <v>14128</v>
      </c>
      <c r="F25" s="30">
        <v>84</v>
      </c>
      <c r="G25" s="31"/>
      <c r="H25" s="32">
        <f t="shared" si="1"/>
        <v>834</v>
      </c>
      <c r="I25" s="67">
        <f t="shared" si="2"/>
        <v>8448</v>
      </c>
      <c r="J25" s="33" t="s">
        <v>38</v>
      </c>
      <c r="K25" s="34"/>
      <c r="L25" s="34"/>
      <c r="M25" s="35"/>
      <c r="N25" s="35"/>
      <c r="O25" s="35"/>
    </row>
    <row r="26" spans="1:15" x14ac:dyDescent="0.25">
      <c r="A26" s="16">
        <v>46035</v>
      </c>
      <c r="B26" s="27">
        <v>19489</v>
      </c>
      <c r="C26" s="28"/>
      <c r="D26" s="19">
        <f t="shared" si="0"/>
        <v>19489</v>
      </c>
      <c r="E26" s="29">
        <v>19027</v>
      </c>
      <c r="F26" s="30">
        <v>90</v>
      </c>
      <c r="G26" s="31"/>
      <c r="H26" s="32">
        <f t="shared" si="1"/>
        <v>462</v>
      </c>
      <c r="I26" s="67">
        <f t="shared" si="2"/>
        <v>8910</v>
      </c>
      <c r="J26" s="33" t="s">
        <v>38</v>
      </c>
      <c r="K26" s="34"/>
      <c r="L26" s="34"/>
      <c r="M26" s="35"/>
      <c r="N26" s="35"/>
      <c r="O26" s="35"/>
    </row>
    <row r="27" spans="1:15" x14ac:dyDescent="0.25">
      <c r="A27" s="16">
        <v>46036</v>
      </c>
      <c r="B27" s="27">
        <v>24603</v>
      </c>
      <c r="C27" s="28"/>
      <c r="D27" s="19">
        <f t="shared" si="0"/>
        <v>24603</v>
      </c>
      <c r="E27" s="29">
        <v>23300</v>
      </c>
      <c r="F27" s="30">
        <v>110</v>
      </c>
      <c r="G27" s="31"/>
      <c r="H27" s="32">
        <f t="shared" si="1"/>
        <v>1303</v>
      </c>
      <c r="I27" s="67">
        <f t="shared" si="2"/>
        <v>10213</v>
      </c>
      <c r="J27" s="33" t="s">
        <v>38</v>
      </c>
      <c r="K27" s="34"/>
      <c r="L27" s="34"/>
      <c r="M27" s="35"/>
      <c r="N27" s="35"/>
      <c r="O27" s="35"/>
    </row>
    <row r="28" spans="1:15" x14ac:dyDescent="0.25">
      <c r="A28" s="16">
        <v>46037</v>
      </c>
      <c r="B28" s="27">
        <v>20871</v>
      </c>
      <c r="C28" s="28"/>
      <c r="D28" s="19">
        <f t="shared" si="0"/>
        <v>20871</v>
      </c>
      <c r="E28" s="29">
        <v>19819</v>
      </c>
      <c r="F28" s="30">
        <v>102</v>
      </c>
      <c r="G28" s="31"/>
      <c r="H28" s="32">
        <f t="shared" si="1"/>
        <v>1052</v>
      </c>
      <c r="I28" s="67">
        <f t="shared" si="2"/>
        <v>11265</v>
      </c>
      <c r="J28" s="33" t="s">
        <v>38</v>
      </c>
      <c r="K28" s="34"/>
      <c r="L28" s="34"/>
      <c r="M28" s="35"/>
      <c r="N28" s="35"/>
      <c r="O28" s="35"/>
    </row>
    <row r="29" spans="1:15" x14ac:dyDescent="0.25">
      <c r="A29" s="16">
        <v>46038</v>
      </c>
      <c r="B29" s="27">
        <v>23552</v>
      </c>
      <c r="C29" s="28"/>
      <c r="D29" s="19">
        <f t="shared" si="0"/>
        <v>23552</v>
      </c>
      <c r="E29" s="29">
        <v>19051</v>
      </c>
      <c r="F29" s="30">
        <v>104</v>
      </c>
      <c r="G29" s="31"/>
      <c r="H29" s="32">
        <f t="shared" si="1"/>
        <v>4501</v>
      </c>
      <c r="I29" s="67">
        <f t="shared" si="2"/>
        <v>15766</v>
      </c>
      <c r="J29" s="33" t="s">
        <v>38</v>
      </c>
      <c r="K29" s="34"/>
      <c r="L29" s="34"/>
      <c r="M29" s="35"/>
      <c r="N29" s="35"/>
      <c r="O29" s="35"/>
    </row>
    <row r="30" spans="1:15" s="26" customFormat="1" x14ac:dyDescent="0.25">
      <c r="A30" s="16">
        <v>46039</v>
      </c>
      <c r="B30" s="17"/>
      <c r="C30" s="18"/>
      <c r="D30" s="19">
        <f t="shared" si="0"/>
        <v>0</v>
      </c>
      <c r="E30" s="20"/>
      <c r="F30" s="21"/>
      <c r="G30" s="22"/>
      <c r="H30" s="23">
        <f t="shared" si="1"/>
        <v>0</v>
      </c>
      <c r="I30" s="77">
        <f t="shared" si="2"/>
        <v>15766</v>
      </c>
      <c r="J30" s="24"/>
      <c r="K30" s="25"/>
      <c r="L30" s="25"/>
      <c r="M30" s="25"/>
      <c r="N30" s="25"/>
      <c r="O30" s="25"/>
    </row>
    <row r="31" spans="1:15" s="26" customFormat="1" x14ac:dyDescent="0.25">
      <c r="A31" s="16">
        <v>46040</v>
      </c>
      <c r="B31" s="17"/>
      <c r="C31" s="18"/>
      <c r="D31" s="19">
        <f t="shared" si="0"/>
        <v>0</v>
      </c>
      <c r="E31" s="20"/>
      <c r="F31" s="21"/>
      <c r="G31" s="22"/>
      <c r="H31" s="23">
        <f t="shared" si="1"/>
        <v>0</v>
      </c>
      <c r="I31" s="77">
        <f t="shared" si="2"/>
        <v>15766</v>
      </c>
      <c r="J31" s="24"/>
      <c r="K31" s="25"/>
      <c r="L31" s="25"/>
      <c r="M31" s="25"/>
      <c r="N31" s="25"/>
      <c r="O31" s="25"/>
    </row>
    <row r="32" spans="1:15" x14ac:dyDescent="0.25">
      <c r="A32" s="16">
        <v>46041</v>
      </c>
      <c r="B32" s="27">
        <v>18191</v>
      </c>
      <c r="C32" s="28"/>
      <c r="D32" s="19">
        <f t="shared" si="0"/>
        <v>18191</v>
      </c>
      <c r="E32" s="29">
        <v>17173</v>
      </c>
      <c r="F32" s="30">
        <v>107</v>
      </c>
      <c r="G32" s="31"/>
      <c r="H32" s="32">
        <f t="shared" si="1"/>
        <v>1018</v>
      </c>
      <c r="I32" s="67">
        <f t="shared" si="2"/>
        <v>16784</v>
      </c>
      <c r="J32" s="33" t="s">
        <v>38</v>
      </c>
      <c r="K32" s="34"/>
      <c r="L32" s="34"/>
      <c r="M32" s="35"/>
      <c r="N32" s="35"/>
      <c r="O32" s="35"/>
    </row>
    <row r="33" spans="1:15" x14ac:dyDescent="0.25">
      <c r="A33" s="16">
        <v>46042</v>
      </c>
      <c r="B33" s="27">
        <v>21284</v>
      </c>
      <c r="C33" s="28"/>
      <c r="D33" s="19">
        <f t="shared" si="0"/>
        <v>21284</v>
      </c>
      <c r="E33" s="29">
        <v>20315</v>
      </c>
      <c r="F33" s="30">
        <v>104</v>
      </c>
      <c r="G33" s="31"/>
      <c r="H33" s="32">
        <f t="shared" si="1"/>
        <v>969</v>
      </c>
      <c r="I33" s="67">
        <f t="shared" si="2"/>
        <v>17753</v>
      </c>
      <c r="J33" s="33" t="s">
        <v>38</v>
      </c>
      <c r="K33" s="34"/>
      <c r="L33" s="34"/>
      <c r="M33" s="35"/>
      <c r="N33" s="35"/>
      <c r="O33" s="35"/>
    </row>
    <row r="34" spans="1:15" x14ac:dyDescent="0.25">
      <c r="A34" s="16">
        <v>46043</v>
      </c>
      <c r="B34" s="27">
        <v>19099</v>
      </c>
      <c r="C34" s="28"/>
      <c r="D34" s="19">
        <f t="shared" si="0"/>
        <v>19099</v>
      </c>
      <c r="E34" s="29">
        <v>18316</v>
      </c>
      <c r="F34" s="30">
        <v>100</v>
      </c>
      <c r="G34" s="31"/>
      <c r="H34" s="32">
        <f t="shared" si="1"/>
        <v>783</v>
      </c>
      <c r="I34" s="67">
        <f t="shared" si="2"/>
        <v>18536</v>
      </c>
      <c r="J34" s="33" t="s">
        <v>38</v>
      </c>
      <c r="K34" s="34"/>
      <c r="L34" s="34"/>
      <c r="M34" s="35"/>
      <c r="N34" s="35"/>
      <c r="O34" s="35"/>
    </row>
    <row r="35" spans="1:15" x14ac:dyDescent="0.25">
      <c r="A35" s="16">
        <v>46044</v>
      </c>
      <c r="B35" s="27">
        <v>30715</v>
      </c>
      <c r="C35" s="28"/>
      <c r="D35" s="19">
        <f t="shared" si="0"/>
        <v>30715</v>
      </c>
      <c r="E35" s="29">
        <v>22909</v>
      </c>
      <c r="F35" s="30">
        <v>108</v>
      </c>
      <c r="G35" s="31">
        <v>17000</v>
      </c>
      <c r="H35" s="32">
        <f t="shared" si="1"/>
        <v>7806</v>
      </c>
      <c r="I35" s="67">
        <f t="shared" si="2"/>
        <v>9342</v>
      </c>
      <c r="J35" s="33" t="s">
        <v>38</v>
      </c>
      <c r="K35" s="34"/>
      <c r="L35" s="34"/>
      <c r="M35" s="35"/>
      <c r="N35" s="35"/>
      <c r="O35" s="35"/>
    </row>
    <row r="36" spans="1:15" x14ac:dyDescent="0.25">
      <c r="A36" s="16">
        <v>46045</v>
      </c>
      <c r="B36" s="27">
        <v>18523</v>
      </c>
      <c r="C36" s="28"/>
      <c r="D36" s="19">
        <f t="shared" si="0"/>
        <v>18523</v>
      </c>
      <c r="E36" s="29">
        <v>18523</v>
      </c>
      <c r="F36" s="30">
        <v>87</v>
      </c>
      <c r="G36" s="31"/>
      <c r="H36" s="32">
        <f t="shared" si="1"/>
        <v>0</v>
      </c>
      <c r="I36" s="67">
        <f t="shared" si="2"/>
        <v>9342</v>
      </c>
      <c r="J36" s="33" t="s">
        <v>38</v>
      </c>
      <c r="K36" s="34"/>
      <c r="L36" s="34"/>
      <c r="M36" s="35"/>
      <c r="N36" s="35"/>
      <c r="O36" s="35"/>
    </row>
    <row r="37" spans="1:15" s="26" customFormat="1" x14ac:dyDescent="0.25">
      <c r="A37" s="16">
        <v>46046</v>
      </c>
      <c r="B37" s="17"/>
      <c r="C37" s="18"/>
      <c r="D37" s="19">
        <f t="shared" si="0"/>
        <v>0</v>
      </c>
      <c r="E37" s="20"/>
      <c r="F37" s="21"/>
      <c r="G37" s="22"/>
      <c r="H37" s="23">
        <f t="shared" si="1"/>
        <v>0</v>
      </c>
      <c r="I37" s="77">
        <f t="shared" si="2"/>
        <v>9342</v>
      </c>
      <c r="J37" s="24"/>
      <c r="K37" s="25"/>
      <c r="L37" s="25"/>
      <c r="M37" s="25"/>
      <c r="N37" s="25"/>
      <c r="O37" s="25"/>
    </row>
    <row r="38" spans="1:15" s="26" customFormat="1" x14ac:dyDescent="0.25">
      <c r="A38" s="16">
        <v>46047</v>
      </c>
      <c r="B38" s="17"/>
      <c r="C38" s="18"/>
      <c r="D38" s="19">
        <f t="shared" si="0"/>
        <v>0</v>
      </c>
      <c r="E38" s="20"/>
      <c r="F38" s="21"/>
      <c r="G38" s="22"/>
      <c r="H38" s="23">
        <f t="shared" si="1"/>
        <v>0</v>
      </c>
      <c r="I38" s="77">
        <f t="shared" si="2"/>
        <v>9342</v>
      </c>
      <c r="J38" s="24"/>
      <c r="K38" s="25"/>
      <c r="L38" s="25"/>
      <c r="M38" s="25"/>
      <c r="N38" s="25"/>
      <c r="O38" s="25"/>
    </row>
    <row r="39" spans="1:15" x14ac:dyDescent="0.25">
      <c r="A39" s="16">
        <v>46048</v>
      </c>
      <c r="B39" s="27">
        <v>25140</v>
      </c>
      <c r="C39" s="28"/>
      <c r="D39" s="19">
        <f t="shared" si="0"/>
        <v>25140</v>
      </c>
      <c r="E39" s="29">
        <v>23872</v>
      </c>
      <c r="F39" s="30">
        <v>103</v>
      </c>
      <c r="G39" s="31"/>
      <c r="H39" s="32">
        <f t="shared" si="1"/>
        <v>1268</v>
      </c>
      <c r="I39" s="67">
        <f t="shared" si="2"/>
        <v>10610</v>
      </c>
      <c r="J39" s="33" t="s">
        <v>38</v>
      </c>
      <c r="K39" s="34"/>
      <c r="L39" s="34"/>
      <c r="M39" s="35"/>
      <c r="N39" s="35"/>
      <c r="O39" s="35"/>
    </row>
    <row r="40" spans="1:15" x14ac:dyDescent="0.25">
      <c r="A40" s="16">
        <v>46049</v>
      </c>
      <c r="B40" s="27">
        <v>16751</v>
      </c>
      <c r="C40" s="28"/>
      <c r="D40" s="19">
        <f t="shared" si="0"/>
        <v>16751</v>
      </c>
      <c r="E40" s="29">
        <v>15610</v>
      </c>
      <c r="F40" s="30">
        <v>93</v>
      </c>
      <c r="G40" s="31"/>
      <c r="H40" s="32">
        <f t="shared" si="1"/>
        <v>1141</v>
      </c>
      <c r="I40" s="67">
        <f t="shared" si="2"/>
        <v>11751</v>
      </c>
      <c r="J40" s="33" t="s">
        <v>38</v>
      </c>
      <c r="K40" s="34"/>
      <c r="L40" s="34"/>
      <c r="M40" s="35"/>
      <c r="N40" s="35"/>
      <c r="O40" s="35"/>
    </row>
    <row r="41" spans="1:15" x14ac:dyDescent="0.25">
      <c r="A41" s="16">
        <v>46050</v>
      </c>
      <c r="B41" s="27">
        <v>24575</v>
      </c>
      <c r="C41" s="28"/>
      <c r="D41" s="19">
        <f t="shared" si="0"/>
        <v>24575</v>
      </c>
      <c r="E41" s="29">
        <v>23363</v>
      </c>
      <c r="F41" s="30">
        <v>104</v>
      </c>
      <c r="G41" s="31"/>
      <c r="H41" s="32">
        <f t="shared" si="1"/>
        <v>1212</v>
      </c>
      <c r="I41" s="67">
        <f t="shared" si="2"/>
        <v>12963</v>
      </c>
      <c r="J41" s="33" t="s">
        <v>38</v>
      </c>
      <c r="K41" s="34"/>
      <c r="L41" s="34"/>
      <c r="M41" s="35"/>
      <c r="N41" s="35"/>
      <c r="O41" s="35"/>
    </row>
    <row r="42" spans="1:15" x14ac:dyDescent="0.25">
      <c r="A42" s="16">
        <v>46051</v>
      </c>
      <c r="B42" s="27">
        <v>22208</v>
      </c>
      <c r="C42" s="28"/>
      <c r="D42" s="19">
        <f t="shared" si="0"/>
        <v>22208</v>
      </c>
      <c r="E42" s="29">
        <v>21780</v>
      </c>
      <c r="F42" s="30">
        <v>102</v>
      </c>
      <c r="G42" s="31"/>
      <c r="H42" s="32">
        <f t="shared" si="1"/>
        <v>428</v>
      </c>
      <c r="I42" s="67">
        <f t="shared" si="2"/>
        <v>13391</v>
      </c>
      <c r="J42" s="33" t="s">
        <v>38</v>
      </c>
      <c r="K42" s="34"/>
      <c r="L42" s="34"/>
      <c r="M42" s="35"/>
      <c r="N42" s="35"/>
      <c r="O42" s="35"/>
    </row>
    <row r="43" spans="1:15" x14ac:dyDescent="0.25">
      <c r="A43" s="16">
        <v>46052</v>
      </c>
      <c r="B43" s="27">
        <v>16351</v>
      </c>
      <c r="C43" s="28"/>
      <c r="D43" s="19">
        <f t="shared" si="0"/>
        <v>16351</v>
      </c>
      <c r="E43" s="29">
        <v>16093</v>
      </c>
      <c r="F43" s="30">
        <v>83</v>
      </c>
      <c r="G43" s="31"/>
      <c r="H43" s="32">
        <f t="shared" si="1"/>
        <v>258</v>
      </c>
      <c r="I43" s="67">
        <f t="shared" si="2"/>
        <v>13649</v>
      </c>
      <c r="J43" s="33" t="s">
        <v>38</v>
      </c>
      <c r="K43" s="34"/>
      <c r="L43" s="34"/>
      <c r="M43" s="35"/>
      <c r="N43" s="35"/>
      <c r="O43" s="35"/>
    </row>
    <row r="44" spans="1:15" s="26" customFormat="1" x14ac:dyDescent="0.25">
      <c r="A44" s="16">
        <v>46053</v>
      </c>
      <c r="B44" s="17"/>
      <c r="C44" s="18"/>
      <c r="D44" s="19">
        <f t="shared" si="0"/>
        <v>0</v>
      </c>
      <c r="E44" s="20"/>
      <c r="F44" s="21"/>
      <c r="G44" s="22"/>
      <c r="H44" s="23">
        <f t="shared" si="1"/>
        <v>0</v>
      </c>
      <c r="I44" s="77">
        <f t="shared" si="2"/>
        <v>13649</v>
      </c>
      <c r="J44" s="24"/>
      <c r="K44" s="25"/>
      <c r="L44" s="25"/>
      <c r="M44" s="25"/>
      <c r="N44" s="25"/>
      <c r="O44" s="25"/>
    </row>
    <row r="45" spans="1:15" ht="18.75" x14ac:dyDescent="0.3">
      <c r="A45" s="27"/>
      <c r="B45" s="36">
        <f t="shared" ref="B45:G45" si="3">SUM(B14:B44)</f>
        <v>316314</v>
      </c>
      <c r="C45" s="36">
        <f t="shared" si="3"/>
        <v>0</v>
      </c>
      <c r="D45" s="36">
        <f t="shared" si="3"/>
        <v>316314</v>
      </c>
      <c r="E45" s="36">
        <f t="shared" si="3"/>
        <v>293279</v>
      </c>
      <c r="F45" s="36">
        <f t="shared" si="3"/>
        <v>1481</v>
      </c>
      <c r="G45" s="36">
        <f t="shared" si="3"/>
        <v>17000</v>
      </c>
      <c r="H45" s="37"/>
      <c r="I45" s="83"/>
      <c r="J45" s="35"/>
      <c r="K45" s="35"/>
      <c r="L45" s="35"/>
      <c r="M45" s="35"/>
      <c r="N45" s="35"/>
      <c r="O45" s="35"/>
    </row>
    <row r="47" spans="1:15" x14ac:dyDescent="0.25">
      <c r="C47" s="38" t="s">
        <v>19</v>
      </c>
      <c r="D47" s="9">
        <f>B8</f>
        <v>15</v>
      </c>
    </row>
    <row r="48" spans="1:15" x14ac:dyDescent="0.25">
      <c r="C48" s="38" t="s">
        <v>20</v>
      </c>
      <c r="D48" s="39">
        <f>D45/D47</f>
        <v>21087.599999999999</v>
      </c>
    </row>
    <row r="49" spans="1:10" s="7" customFormat="1" x14ac:dyDescent="0.25">
      <c r="A49" s="2"/>
      <c r="B49" s="2"/>
      <c r="C49" s="38" t="s">
        <v>21</v>
      </c>
      <c r="D49" s="39">
        <f>B45/F45</f>
        <v>213.58136394328156</v>
      </c>
      <c r="F49" s="2"/>
      <c r="G49" s="5"/>
      <c r="H49"/>
      <c r="I49"/>
      <c r="J49"/>
    </row>
  </sheetData>
  <sheetProtection algorithmName="SHA-512" hashValue="Q0Ewoy/sLmfk79vVx8oF2pnLXOrhnuyIbgDs+jSZH8dB8s4DqgRYQOGtqe1KbosOfrrxU/HDALcuVt20wHoiOg==" saltValue="d2NQaoBSQ0qpD/62822lKQ==" spinCount="100000" sheet="1" objects="1" scenarios="1"/>
  <protectedRanges>
    <protectedRange sqref="J14:O44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6"/>
  <sheetViews>
    <sheetView zoomScaleNormal="100" workbookViewId="0">
      <selection activeCell="F40" sqref="F40"/>
    </sheetView>
  </sheetViews>
  <sheetFormatPr defaultColWidth="8.85546875" defaultRowHeight="15.75" x14ac:dyDescent="0.25"/>
  <cols>
    <col min="1" max="1" width="13.42578125" style="2" bestFit="1" customWidth="1"/>
    <col min="2" max="2" width="15.7109375" style="2" customWidth="1"/>
    <col min="3" max="3" width="12" style="2" bestFit="1" customWidth="1"/>
    <col min="4" max="4" width="14.85546875" style="2" bestFit="1" customWidth="1"/>
    <col min="5" max="5" width="16.5703125" style="7" bestFit="1" customWidth="1"/>
    <col min="6" max="6" width="13.28515625" style="2" customWidth="1"/>
    <col min="7" max="7" width="13.5703125" style="5" bestFit="1" customWidth="1"/>
    <col min="8" max="8" width="11.5703125" bestFit="1" customWidth="1"/>
    <col min="9" max="9" width="17.7109375" customWidth="1"/>
    <col min="10" max="10" width="12.7109375" bestFit="1" customWidth="1"/>
    <col min="11" max="11" width="14.28515625" bestFit="1" customWidth="1"/>
    <col min="13" max="13" width="12.7109375" bestFit="1" customWidth="1"/>
    <col min="14" max="14" width="9.28515625" bestFit="1" customWidth="1"/>
  </cols>
  <sheetData>
    <row r="2" spans="1:15" ht="18.75" x14ac:dyDescent="0.3">
      <c r="A2" s="1" t="s">
        <v>0</v>
      </c>
      <c r="D2" s="3" t="s">
        <v>1</v>
      </c>
      <c r="E2" s="4" t="s">
        <v>2</v>
      </c>
      <c r="F2" s="3"/>
      <c r="G2" s="5" t="s">
        <v>3</v>
      </c>
      <c r="I2" s="6" t="s">
        <v>4</v>
      </c>
    </row>
    <row r="3" spans="1:15" ht="18.75" x14ac:dyDescent="0.3">
      <c r="A3" s="47">
        <f>Январь26!I3</f>
        <v>13649</v>
      </c>
      <c r="B3" s="7"/>
      <c r="C3" s="7"/>
      <c r="D3" s="4">
        <f>D42</f>
        <v>434926</v>
      </c>
      <c r="E3" s="4">
        <f>E42</f>
        <v>410708</v>
      </c>
      <c r="F3" s="4"/>
      <c r="G3" s="4">
        <f>G42</f>
        <v>26586</v>
      </c>
      <c r="I3" s="49">
        <f>I41</f>
        <v>11281</v>
      </c>
    </row>
    <row r="5" spans="1:15" x14ac:dyDescent="0.25">
      <c r="A5" s="2" t="s">
        <v>5</v>
      </c>
    </row>
    <row r="7" spans="1:15" ht="21" x14ac:dyDescent="0.35">
      <c r="A7" s="2">
        <v>2024</v>
      </c>
      <c r="B7" s="8" t="s">
        <v>39</v>
      </c>
    </row>
    <row r="8" spans="1:15" x14ac:dyDescent="0.25">
      <c r="A8" s="2" t="s">
        <v>6</v>
      </c>
      <c r="B8" s="9">
        <f>NETWORKDAYS(A14,A41,A36)</f>
        <v>19</v>
      </c>
    </row>
    <row r="10" spans="1:15" ht="18.75" x14ac:dyDescent="0.3">
      <c r="A10" s="10" t="s">
        <v>7</v>
      </c>
      <c r="B10" s="89" t="str">
        <f>Январь26!B10</f>
        <v>Смола</v>
      </c>
      <c r="C10" s="90"/>
      <c r="D10" s="90"/>
    </row>
    <row r="12" spans="1:15" ht="47.25" x14ac:dyDescent="0.25">
      <c r="A12" s="11" t="s">
        <v>8</v>
      </c>
      <c r="B12" s="11" t="s">
        <v>1</v>
      </c>
      <c r="C12" s="11" t="s">
        <v>9</v>
      </c>
      <c r="D12" s="11" t="s">
        <v>10</v>
      </c>
      <c r="E12" s="12" t="s">
        <v>11</v>
      </c>
      <c r="F12" s="11" t="s">
        <v>12</v>
      </c>
      <c r="G12" s="11" t="s">
        <v>3</v>
      </c>
      <c r="H12" s="11" t="s">
        <v>13</v>
      </c>
      <c r="I12" s="11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16</v>
      </c>
      <c r="O12" s="13" t="s">
        <v>17</v>
      </c>
    </row>
    <row r="13" spans="1:15" x14ac:dyDescent="0.25">
      <c r="A13" s="11"/>
      <c r="B13" s="11"/>
      <c r="C13" s="11"/>
      <c r="D13" s="11"/>
      <c r="E13" s="12"/>
      <c r="F13" s="11"/>
      <c r="G13" s="11"/>
      <c r="H13" s="14"/>
      <c r="I13" s="57">
        <f>A3</f>
        <v>13649</v>
      </c>
      <c r="J13" s="15"/>
      <c r="K13" s="15"/>
      <c r="L13" s="15"/>
      <c r="M13" s="15"/>
      <c r="N13" s="15"/>
      <c r="O13" s="15"/>
    </row>
    <row r="14" spans="1:15" s="26" customFormat="1" x14ac:dyDescent="0.25">
      <c r="A14" s="16">
        <v>46054</v>
      </c>
      <c r="B14" s="17"/>
      <c r="C14" s="18"/>
      <c r="D14" s="19">
        <f>B14-C14</f>
        <v>0</v>
      </c>
      <c r="E14" s="20"/>
      <c r="F14" s="21"/>
      <c r="G14" s="22"/>
      <c r="H14" s="23">
        <f>D14-E14</f>
        <v>0</v>
      </c>
      <c r="I14" s="77">
        <f>I13+H14-G14</f>
        <v>13649</v>
      </c>
      <c r="J14" s="24"/>
      <c r="K14" s="25"/>
      <c r="L14" s="25"/>
      <c r="M14" s="25"/>
      <c r="N14" s="25"/>
      <c r="O14" s="25"/>
    </row>
    <row r="15" spans="1:15" x14ac:dyDescent="0.25">
      <c r="A15" s="16">
        <v>46055</v>
      </c>
      <c r="B15" s="27">
        <v>28067</v>
      </c>
      <c r="C15" s="28"/>
      <c r="D15" s="19">
        <f t="shared" ref="D15:D41" si="0">B15-C15</f>
        <v>28067</v>
      </c>
      <c r="E15" s="29">
        <v>25115</v>
      </c>
      <c r="F15" s="30">
        <v>110</v>
      </c>
      <c r="G15" s="31"/>
      <c r="H15" s="32">
        <f>D15-E15</f>
        <v>2952</v>
      </c>
      <c r="I15" s="67">
        <f t="shared" ref="I15:I41" si="1">I14+H15-G15</f>
        <v>16601</v>
      </c>
      <c r="J15" s="33" t="s">
        <v>38</v>
      </c>
      <c r="K15" s="34"/>
      <c r="L15" s="34"/>
      <c r="M15" s="35"/>
      <c r="N15" s="35"/>
      <c r="O15" s="35"/>
    </row>
    <row r="16" spans="1:15" x14ac:dyDescent="0.25">
      <c r="A16" s="16">
        <v>46056</v>
      </c>
      <c r="B16" s="27">
        <v>20586</v>
      </c>
      <c r="C16" s="28"/>
      <c r="D16" s="19">
        <f t="shared" si="0"/>
        <v>20586</v>
      </c>
      <c r="E16" s="29">
        <v>19448</v>
      </c>
      <c r="F16" s="30">
        <v>99</v>
      </c>
      <c r="G16" s="31"/>
      <c r="H16" s="32">
        <f t="shared" ref="H16:H38" si="2">D16-E16</f>
        <v>1138</v>
      </c>
      <c r="I16" s="67">
        <f t="shared" si="1"/>
        <v>17739</v>
      </c>
      <c r="J16" s="33" t="s">
        <v>38</v>
      </c>
      <c r="K16" s="34"/>
      <c r="L16" s="34"/>
      <c r="M16" s="35"/>
      <c r="N16" s="35"/>
      <c r="O16" s="35"/>
    </row>
    <row r="17" spans="1:15" x14ac:dyDescent="0.25">
      <c r="A17" s="16">
        <v>46057</v>
      </c>
      <c r="B17" s="27">
        <v>26018</v>
      </c>
      <c r="C17" s="28"/>
      <c r="D17" s="19">
        <f t="shared" si="0"/>
        <v>26018</v>
      </c>
      <c r="E17" s="29">
        <v>25463</v>
      </c>
      <c r="F17" s="30">
        <v>104</v>
      </c>
      <c r="G17" s="31">
        <v>13000</v>
      </c>
      <c r="H17" s="32">
        <f t="shared" si="2"/>
        <v>555</v>
      </c>
      <c r="I17" s="67">
        <f t="shared" si="1"/>
        <v>5294</v>
      </c>
      <c r="J17" s="33" t="s">
        <v>38</v>
      </c>
      <c r="K17" s="34"/>
      <c r="L17" s="34"/>
      <c r="M17" s="35"/>
      <c r="N17" s="35"/>
      <c r="O17" s="35"/>
    </row>
    <row r="18" spans="1:15" x14ac:dyDescent="0.25">
      <c r="A18" s="16">
        <v>46058</v>
      </c>
      <c r="B18" s="27">
        <v>21578</v>
      </c>
      <c r="C18" s="28"/>
      <c r="D18" s="19">
        <f t="shared" si="0"/>
        <v>21578</v>
      </c>
      <c r="E18" s="29">
        <v>21107</v>
      </c>
      <c r="F18" s="30">
        <v>101</v>
      </c>
      <c r="G18" s="31"/>
      <c r="H18" s="32">
        <f t="shared" si="2"/>
        <v>471</v>
      </c>
      <c r="I18" s="67">
        <f t="shared" si="1"/>
        <v>5765</v>
      </c>
      <c r="J18" s="33" t="s">
        <v>38</v>
      </c>
      <c r="K18" s="34"/>
      <c r="L18" s="34"/>
      <c r="M18" s="35"/>
      <c r="N18" s="35"/>
      <c r="O18" s="35"/>
    </row>
    <row r="19" spans="1:15" x14ac:dyDescent="0.25">
      <c r="A19" s="16">
        <v>46059</v>
      </c>
      <c r="B19" s="27">
        <v>20560</v>
      </c>
      <c r="C19" s="28"/>
      <c r="D19" s="19">
        <f t="shared" si="0"/>
        <v>20560</v>
      </c>
      <c r="E19" s="29">
        <v>18206</v>
      </c>
      <c r="F19" s="30">
        <v>83</v>
      </c>
      <c r="G19" s="31"/>
      <c r="H19" s="32">
        <f t="shared" si="2"/>
        <v>2354</v>
      </c>
      <c r="I19" s="67">
        <f t="shared" si="1"/>
        <v>8119</v>
      </c>
      <c r="J19" s="33" t="s">
        <v>38</v>
      </c>
      <c r="K19" s="34"/>
      <c r="L19" s="34"/>
      <c r="M19" s="35"/>
      <c r="N19" s="35"/>
      <c r="O19" s="35"/>
    </row>
    <row r="20" spans="1:15" s="26" customFormat="1" x14ac:dyDescent="0.25">
      <c r="A20" s="16">
        <v>46060</v>
      </c>
      <c r="B20" s="17"/>
      <c r="C20" s="18"/>
      <c r="D20" s="19">
        <f t="shared" si="0"/>
        <v>0</v>
      </c>
      <c r="E20" s="20"/>
      <c r="F20" s="21"/>
      <c r="G20" s="22"/>
      <c r="H20" s="23">
        <f t="shared" si="2"/>
        <v>0</v>
      </c>
      <c r="I20" s="77">
        <f t="shared" si="1"/>
        <v>8119</v>
      </c>
      <c r="J20" s="24"/>
      <c r="K20" s="25"/>
      <c r="L20" s="25"/>
      <c r="M20" s="25"/>
      <c r="N20" s="25"/>
      <c r="O20" s="25"/>
    </row>
    <row r="21" spans="1:15" s="26" customFormat="1" x14ac:dyDescent="0.25">
      <c r="A21" s="16">
        <v>46061</v>
      </c>
      <c r="B21" s="17"/>
      <c r="C21" s="18"/>
      <c r="D21" s="19">
        <f t="shared" si="0"/>
        <v>0</v>
      </c>
      <c r="E21" s="20"/>
      <c r="F21" s="21"/>
      <c r="G21" s="22"/>
      <c r="H21" s="23">
        <f t="shared" si="2"/>
        <v>0</v>
      </c>
      <c r="I21" s="77">
        <f t="shared" si="1"/>
        <v>8119</v>
      </c>
      <c r="J21" s="24"/>
      <c r="K21" s="25"/>
      <c r="L21" s="25"/>
      <c r="M21" s="25"/>
      <c r="N21" s="25"/>
      <c r="O21" s="25"/>
    </row>
    <row r="22" spans="1:15" x14ac:dyDescent="0.25">
      <c r="A22" s="16">
        <v>46062</v>
      </c>
      <c r="B22" s="27">
        <v>24331</v>
      </c>
      <c r="C22" s="28"/>
      <c r="D22" s="19">
        <f t="shared" si="0"/>
        <v>24331</v>
      </c>
      <c r="E22" s="29">
        <v>23750</v>
      </c>
      <c r="F22" s="30">
        <v>120</v>
      </c>
      <c r="G22" s="31">
        <v>360</v>
      </c>
      <c r="H22" s="32">
        <f t="shared" si="2"/>
        <v>581</v>
      </c>
      <c r="I22" s="67">
        <f t="shared" si="1"/>
        <v>8340</v>
      </c>
      <c r="J22" s="33" t="s">
        <v>38</v>
      </c>
      <c r="K22" s="34"/>
      <c r="L22" s="34"/>
      <c r="M22" s="35"/>
      <c r="N22" s="35"/>
      <c r="O22" s="35"/>
    </row>
    <row r="23" spans="1:15" x14ac:dyDescent="0.25">
      <c r="A23" s="16">
        <v>46063</v>
      </c>
      <c r="B23" s="27">
        <v>27469</v>
      </c>
      <c r="C23" s="28"/>
      <c r="D23" s="19">
        <f t="shared" si="0"/>
        <v>27469</v>
      </c>
      <c r="E23" s="29">
        <v>25879</v>
      </c>
      <c r="F23" s="30">
        <v>118</v>
      </c>
      <c r="G23" s="31"/>
      <c r="H23" s="32">
        <f t="shared" si="2"/>
        <v>1590</v>
      </c>
      <c r="I23" s="67">
        <f t="shared" si="1"/>
        <v>9930</v>
      </c>
      <c r="J23" s="33" t="s">
        <v>38</v>
      </c>
      <c r="K23" s="34"/>
      <c r="L23" s="34"/>
      <c r="M23" s="35"/>
      <c r="N23" s="35"/>
      <c r="O23" s="35"/>
    </row>
    <row r="24" spans="1:15" x14ac:dyDescent="0.25">
      <c r="A24" s="16">
        <v>46064</v>
      </c>
      <c r="B24" s="27">
        <v>21820</v>
      </c>
      <c r="C24" s="28"/>
      <c r="D24" s="19">
        <f t="shared" si="0"/>
        <v>21820</v>
      </c>
      <c r="E24" s="29">
        <v>21260</v>
      </c>
      <c r="F24" s="30">
        <v>107</v>
      </c>
      <c r="G24" s="31"/>
      <c r="H24" s="32">
        <f t="shared" si="2"/>
        <v>560</v>
      </c>
      <c r="I24" s="67">
        <f t="shared" si="1"/>
        <v>10490</v>
      </c>
      <c r="J24" s="33" t="s">
        <v>38</v>
      </c>
      <c r="K24" s="34"/>
      <c r="L24" s="34"/>
      <c r="M24" s="35"/>
      <c r="N24" s="35"/>
      <c r="O24" s="35"/>
    </row>
    <row r="25" spans="1:15" x14ac:dyDescent="0.25">
      <c r="A25" s="16">
        <v>46065</v>
      </c>
      <c r="B25" s="27">
        <v>19060</v>
      </c>
      <c r="C25" s="28"/>
      <c r="D25" s="19">
        <f t="shared" si="0"/>
        <v>19060</v>
      </c>
      <c r="E25" s="29">
        <v>18349</v>
      </c>
      <c r="F25" s="30">
        <v>100</v>
      </c>
      <c r="G25" s="31"/>
      <c r="H25" s="32">
        <f t="shared" si="2"/>
        <v>711</v>
      </c>
      <c r="I25" s="67">
        <f t="shared" si="1"/>
        <v>11201</v>
      </c>
      <c r="J25" s="33" t="s">
        <v>38</v>
      </c>
      <c r="K25" s="34"/>
      <c r="L25" s="34"/>
      <c r="M25" s="35"/>
      <c r="N25" s="35"/>
      <c r="O25" s="35"/>
    </row>
    <row r="26" spans="1:15" x14ac:dyDescent="0.25">
      <c r="A26" s="16">
        <v>46066</v>
      </c>
      <c r="B26" s="27">
        <v>21265</v>
      </c>
      <c r="C26" s="28"/>
      <c r="D26" s="19">
        <f t="shared" si="0"/>
        <v>21265</v>
      </c>
      <c r="E26" s="29">
        <v>18330</v>
      </c>
      <c r="F26" s="30">
        <v>93</v>
      </c>
      <c r="G26" s="31"/>
      <c r="H26" s="32">
        <f t="shared" si="2"/>
        <v>2935</v>
      </c>
      <c r="I26" s="67">
        <f t="shared" si="1"/>
        <v>14136</v>
      </c>
      <c r="J26" s="33" t="s">
        <v>38</v>
      </c>
      <c r="K26" s="34"/>
      <c r="L26" s="34"/>
      <c r="M26" s="35"/>
      <c r="N26" s="35"/>
      <c r="O26" s="35"/>
    </row>
    <row r="27" spans="1:15" s="26" customFormat="1" x14ac:dyDescent="0.25">
      <c r="A27" s="16">
        <v>46067</v>
      </c>
      <c r="B27" s="17"/>
      <c r="C27" s="18"/>
      <c r="D27" s="19">
        <f t="shared" si="0"/>
        <v>0</v>
      </c>
      <c r="E27" s="20"/>
      <c r="F27" s="21"/>
      <c r="G27" s="22"/>
      <c r="H27" s="23">
        <f t="shared" si="2"/>
        <v>0</v>
      </c>
      <c r="I27" s="77">
        <f t="shared" si="1"/>
        <v>14136</v>
      </c>
      <c r="J27" s="24"/>
      <c r="K27" s="25"/>
      <c r="L27" s="25"/>
      <c r="M27" s="25"/>
      <c r="N27" s="25"/>
      <c r="O27" s="25"/>
    </row>
    <row r="28" spans="1:15" s="26" customFormat="1" x14ac:dyDescent="0.25">
      <c r="A28" s="16">
        <v>46068</v>
      </c>
      <c r="B28" s="17"/>
      <c r="C28" s="18"/>
      <c r="D28" s="19">
        <f t="shared" si="0"/>
        <v>0</v>
      </c>
      <c r="E28" s="20"/>
      <c r="F28" s="21"/>
      <c r="G28" s="22"/>
      <c r="H28" s="23">
        <f t="shared" si="2"/>
        <v>0</v>
      </c>
      <c r="I28" s="77">
        <f t="shared" si="1"/>
        <v>14136</v>
      </c>
      <c r="J28" s="24"/>
      <c r="K28" s="25"/>
      <c r="L28" s="25"/>
      <c r="M28" s="25"/>
      <c r="N28" s="25"/>
      <c r="O28" s="25"/>
    </row>
    <row r="29" spans="1:15" x14ac:dyDescent="0.25">
      <c r="A29" s="16">
        <v>46069</v>
      </c>
      <c r="B29" s="27">
        <v>18619</v>
      </c>
      <c r="C29" s="28"/>
      <c r="D29" s="19">
        <f t="shared" si="0"/>
        <v>18619</v>
      </c>
      <c r="E29" s="29">
        <v>18469</v>
      </c>
      <c r="F29" s="30">
        <v>98</v>
      </c>
      <c r="G29" s="31"/>
      <c r="H29" s="32">
        <f t="shared" si="2"/>
        <v>150</v>
      </c>
      <c r="I29" s="67">
        <f t="shared" si="1"/>
        <v>14286</v>
      </c>
      <c r="J29" s="33" t="s">
        <v>38</v>
      </c>
      <c r="K29" s="34"/>
      <c r="L29" s="34"/>
      <c r="M29" s="35"/>
      <c r="N29" s="35"/>
      <c r="O29" s="35"/>
    </row>
    <row r="30" spans="1:15" x14ac:dyDescent="0.25">
      <c r="A30" s="16">
        <v>46070</v>
      </c>
      <c r="B30" s="27">
        <v>23343</v>
      </c>
      <c r="C30" s="28"/>
      <c r="D30" s="19">
        <f t="shared" si="0"/>
        <v>23343</v>
      </c>
      <c r="E30" s="29">
        <v>23154</v>
      </c>
      <c r="F30" s="30">
        <v>101</v>
      </c>
      <c r="G30" s="31"/>
      <c r="H30" s="32">
        <f t="shared" si="2"/>
        <v>189</v>
      </c>
      <c r="I30" s="67">
        <f t="shared" si="1"/>
        <v>14475</v>
      </c>
      <c r="J30" s="33" t="s">
        <v>38</v>
      </c>
      <c r="K30" s="34"/>
      <c r="L30" s="34"/>
      <c r="M30" s="35"/>
      <c r="N30" s="35"/>
      <c r="O30" s="35"/>
    </row>
    <row r="31" spans="1:15" x14ac:dyDescent="0.25">
      <c r="A31" s="16">
        <v>46071</v>
      </c>
      <c r="B31" s="27">
        <v>22973</v>
      </c>
      <c r="C31" s="28"/>
      <c r="D31" s="19">
        <f t="shared" si="0"/>
        <v>22973</v>
      </c>
      <c r="E31" s="29">
        <v>22580</v>
      </c>
      <c r="F31" s="30">
        <v>109</v>
      </c>
      <c r="G31" s="31"/>
      <c r="H31" s="32">
        <f t="shared" si="2"/>
        <v>393</v>
      </c>
      <c r="I31" s="67">
        <f t="shared" si="1"/>
        <v>14868</v>
      </c>
      <c r="J31" s="33" t="s">
        <v>38</v>
      </c>
      <c r="K31" s="34"/>
      <c r="L31" s="34"/>
      <c r="M31" s="35"/>
      <c r="N31" s="35"/>
      <c r="O31" s="35"/>
    </row>
    <row r="32" spans="1:15" x14ac:dyDescent="0.25">
      <c r="A32" s="16">
        <v>46072</v>
      </c>
      <c r="B32" s="27">
        <v>27228</v>
      </c>
      <c r="C32" s="28"/>
      <c r="D32" s="19">
        <f t="shared" si="0"/>
        <v>27228</v>
      </c>
      <c r="E32" s="29">
        <v>24372</v>
      </c>
      <c r="F32" s="30">
        <v>114</v>
      </c>
      <c r="G32" s="31">
        <v>13000</v>
      </c>
      <c r="H32" s="32">
        <f t="shared" si="2"/>
        <v>2856</v>
      </c>
      <c r="I32" s="67">
        <f t="shared" si="1"/>
        <v>4724</v>
      </c>
      <c r="J32" s="33" t="s">
        <v>38</v>
      </c>
      <c r="K32" s="34"/>
      <c r="L32" s="34"/>
      <c r="M32" s="35"/>
      <c r="N32" s="35"/>
      <c r="O32" s="35"/>
    </row>
    <row r="33" spans="1:15" x14ac:dyDescent="0.25">
      <c r="A33" s="16">
        <v>46073</v>
      </c>
      <c r="B33" s="27">
        <v>12555</v>
      </c>
      <c r="C33" s="28"/>
      <c r="D33" s="19">
        <f t="shared" si="0"/>
        <v>12555</v>
      </c>
      <c r="E33" s="29">
        <v>11957</v>
      </c>
      <c r="F33" s="30">
        <v>57</v>
      </c>
      <c r="G33" s="31"/>
      <c r="H33" s="32">
        <f t="shared" si="2"/>
        <v>598</v>
      </c>
      <c r="I33" s="67">
        <f t="shared" si="1"/>
        <v>5322</v>
      </c>
      <c r="J33" s="33" t="s">
        <v>25</v>
      </c>
      <c r="K33" s="34"/>
      <c r="L33" s="34"/>
      <c r="M33" s="35"/>
      <c r="N33" s="35"/>
      <c r="O33" s="35"/>
    </row>
    <row r="34" spans="1:15" s="26" customFormat="1" x14ac:dyDescent="0.25">
      <c r="A34" s="16">
        <v>46074</v>
      </c>
      <c r="B34" s="17"/>
      <c r="C34" s="18"/>
      <c r="D34" s="19">
        <f t="shared" si="0"/>
        <v>0</v>
      </c>
      <c r="E34" s="20"/>
      <c r="F34" s="21"/>
      <c r="G34" s="22"/>
      <c r="H34" s="23">
        <f t="shared" si="2"/>
        <v>0</v>
      </c>
      <c r="I34" s="77">
        <f t="shared" si="1"/>
        <v>5322</v>
      </c>
      <c r="J34" s="24"/>
      <c r="K34" s="25"/>
      <c r="L34" s="25"/>
      <c r="M34" s="25"/>
      <c r="N34" s="25"/>
      <c r="O34" s="25"/>
    </row>
    <row r="35" spans="1:15" s="26" customFormat="1" x14ac:dyDescent="0.25">
      <c r="A35" s="16">
        <v>46075</v>
      </c>
      <c r="B35" s="17"/>
      <c r="C35" s="18"/>
      <c r="D35" s="19">
        <f t="shared" si="0"/>
        <v>0</v>
      </c>
      <c r="E35" s="20"/>
      <c r="F35" s="21"/>
      <c r="G35" s="22"/>
      <c r="H35" s="23">
        <f t="shared" si="2"/>
        <v>0</v>
      </c>
      <c r="I35" s="77">
        <f t="shared" si="1"/>
        <v>5322</v>
      </c>
      <c r="J35" s="24"/>
      <c r="K35" s="25"/>
      <c r="L35" s="25"/>
      <c r="M35" s="25"/>
      <c r="N35" s="25"/>
      <c r="O35" s="25"/>
    </row>
    <row r="36" spans="1:15" s="26" customFormat="1" x14ac:dyDescent="0.25">
      <c r="A36" s="16">
        <v>46076</v>
      </c>
      <c r="B36" s="17"/>
      <c r="C36" s="18"/>
      <c r="D36" s="19">
        <f t="shared" si="0"/>
        <v>0</v>
      </c>
      <c r="E36" s="20"/>
      <c r="F36" s="21"/>
      <c r="G36" s="22"/>
      <c r="H36" s="23">
        <f t="shared" si="2"/>
        <v>0</v>
      </c>
      <c r="I36" s="77">
        <f t="shared" si="1"/>
        <v>5322</v>
      </c>
      <c r="J36" s="24"/>
      <c r="K36" s="25"/>
      <c r="L36" s="25"/>
      <c r="M36" s="25"/>
      <c r="N36" s="25"/>
      <c r="O36" s="25"/>
    </row>
    <row r="37" spans="1:15" x14ac:dyDescent="0.25">
      <c r="A37" s="16">
        <v>46077</v>
      </c>
      <c r="B37" s="27">
        <v>21360</v>
      </c>
      <c r="C37" s="28"/>
      <c r="D37" s="19">
        <f t="shared" si="0"/>
        <v>21360</v>
      </c>
      <c r="E37" s="29">
        <v>18955</v>
      </c>
      <c r="F37" s="30">
        <v>95</v>
      </c>
      <c r="G37" s="31"/>
      <c r="H37" s="32">
        <f t="shared" si="2"/>
        <v>2405</v>
      </c>
      <c r="I37" s="67">
        <f t="shared" si="1"/>
        <v>7727</v>
      </c>
      <c r="J37" s="33" t="s">
        <v>38</v>
      </c>
      <c r="K37" s="34"/>
      <c r="L37" s="34"/>
      <c r="M37" s="35"/>
      <c r="N37" s="35"/>
      <c r="O37" s="35"/>
    </row>
    <row r="38" spans="1:15" x14ac:dyDescent="0.25">
      <c r="A38" s="16">
        <v>46078</v>
      </c>
      <c r="B38" s="27">
        <v>27150</v>
      </c>
      <c r="C38" s="28"/>
      <c r="D38" s="19">
        <f t="shared" si="0"/>
        <v>27150</v>
      </c>
      <c r="E38" s="29">
        <v>26055</v>
      </c>
      <c r="F38" s="30">
        <v>131</v>
      </c>
      <c r="G38" s="31"/>
      <c r="H38" s="32">
        <f t="shared" si="2"/>
        <v>1095</v>
      </c>
      <c r="I38" s="67">
        <f t="shared" si="1"/>
        <v>8822</v>
      </c>
      <c r="J38" s="33" t="s">
        <v>38</v>
      </c>
      <c r="K38" s="34"/>
      <c r="L38" s="34"/>
      <c r="M38" s="35"/>
      <c r="N38" s="35"/>
      <c r="O38" s="35"/>
    </row>
    <row r="39" spans="1:15" x14ac:dyDescent="0.25">
      <c r="A39" s="16">
        <v>46079</v>
      </c>
      <c r="B39" s="27">
        <v>24296</v>
      </c>
      <c r="C39" s="28"/>
      <c r="D39" s="19">
        <f t="shared" si="0"/>
        <v>24296</v>
      </c>
      <c r="E39" s="29">
        <v>23554</v>
      </c>
      <c r="F39" s="30">
        <v>112</v>
      </c>
      <c r="G39" s="31">
        <v>226</v>
      </c>
      <c r="H39" s="32">
        <f>D39-E39</f>
        <v>742</v>
      </c>
      <c r="I39" s="67">
        <f t="shared" si="1"/>
        <v>9338</v>
      </c>
      <c r="J39" s="33" t="s">
        <v>38</v>
      </c>
      <c r="K39" s="34"/>
      <c r="L39" s="34"/>
      <c r="M39" s="35"/>
      <c r="N39" s="35"/>
      <c r="O39" s="35"/>
    </row>
    <row r="40" spans="1:15" x14ac:dyDescent="0.25">
      <c r="A40" s="16">
        <v>46080</v>
      </c>
      <c r="B40" s="27">
        <v>26648</v>
      </c>
      <c r="C40" s="28"/>
      <c r="D40" s="19">
        <f t="shared" si="0"/>
        <v>26648</v>
      </c>
      <c r="E40" s="29">
        <v>24705</v>
      </c>
      <c r="F40" s="30">
        <v>113</v>
      </c>
      <c r="G40" s="31"/>
      <c r="H40" s="32">
        <f t="shared" ref="H40:H41" si="3">D40-E40</f>
        <v>1943</v>
      </c>
      <c r="I40" s="67">
        <f t="shared" si="1"/>
        <v>11281</v>
      </c>
      <c r="J40" s="33" t="s">
        <v>38</v>
      </c>
      <c r="K40" s="34"/>
      <c r="L40" s="34"/>
      <c r="M40" s="35"/>
      <c r="N40" s="35"/>
      <c r="O40" s="35"/>
    </row>
    <row r="41" spans="1:15" s="26" customFormat="1" x14ac:dyDescent="0.25">
      <c r="A41" s="16">
        <v>46081</v>
      </c>
      <c r="B41" s="17"/>
      <c r="C41" s="18"/>
      <c r="D41" s="19">
        <f t="shared" si="0"/>
        <v>0</v>
      </c>
      <c r="E41" s="20"/>
      <c r="F41" s="21"/>
      <c r="G41" s="22"/>
      <c r="H41" s="23">
        <f t="shared" si="3"/>
        <v>0</v>
      </c>
      <c r="I41" s="77">
        <f t="shared" si="1"/>
        <v>11281</v>
      </c>
      <c r="J41" s="24"/>
      <c r="K41" s="25"/>
      <c r="L41" s="25"/>
      <c r="M41" s="25"/>
      <c r="N41" s="25"/>
      <c r="O41" s="25"/>
    </row>
    <row r="42" spans="1:15" ht="18.75" x14ac:dyDescent="0.3">
      <c r="A42" s="27"/>
      <c r="B42" s="36">
        <f t="shared" ref="B42:G42" si="4">SUM(B14:B41)</f>
        <v>434926</v>
      </c>
      <c r="C42" s="36">
        <f t="shared" si="4"/>
        <v>0</v>
      </c>
      <c r="D42" s="36">
        <f t="shared" si="4"/>
        <v>434926</v>
      </c>
      <c r="E42" s="36">
        <f t="shared" si="4"/>
        <v>410708</v>
      </c>
      <c r="F42" s="36">
        <f t="shared" si="4"/>
        <v>1965</v>
      </c>
      <c r="G42" s="36">
        <f t="shared" si="4"/>
        <v>26586</v>
      </c>
      <c r="H42" s="37"/>
      <c r="I42" s="83"/>
      <c r="J42" s="35"/>
      <c r="K42" s="35"/>
      <c r="L42" s="35"/>
      <c r="M42" s="35"/>
      <c r="N42" s="35"/>
      <c r="O42" s="35"/>
    </row>
    <row r="44" spans="1:15" x14ac:dyDescent="0.25">
      <c r="C44" s="38" t="s">
        <v>19</v>
      </c>
      <c r="D44" s="9">
        <f>B8</f>
        <v>19</v>
      </c>
    </row>
    <row r="45" spans="1:15" x14ac:dyDescent="0.25">
      <c r="C45" s="38" t="s">
        <v>20</v>
      </c>
      <c r="D45" s="39">
        <f>D42/D44</f>
        <v>22890.842105263157</v>
      </c>
    </row>
    <row r="46" spans="1:15" s="7" customFormat="1" x14ac:dyDescent="0.25">
      <c r="A46" s="2"/>
      <c r="B46" s="2"/>
      <c r="C46" s="38" t="s">
        <v>21</v>
      </c>
      <c r="D46" s="39">
        <f>B42/F42</f>
        <v>221.33638676844782</v>
      </c>
      <c r="F46" s="2"/>
      <c r="G46" s="5"/>
      <c r="H46"/>
      <c r="I46"/>
      <c r="J46"/>
    </row>
  </sheetData>
  <sheetProtection algorithmName="SHA-512" hashValue="UMljsH56O6pyIZ2GPAxqTfobsoxFPQ8QxA3jNLgy6a0RljAkLvikRCtG9mK8xFkcmLjJTmN6DbTnf1ZDAlsKYw==" saltValue="dE2JWj2nhGQEC66sEazKiw==" spinCount="100000" sheet="1" objects="1" scenarios="1"/>
  <protectedRanges>
    <protectedRange sqref="J14:O41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9"/>
  <sheetViews>
    <sheetView tabSelected="1" zoomScaleNormal="100" workbookViewId="0">
      <selection activeCell="J44" sqref="J44"/>
    </sheetView>
  </sheetViews>
  <sheetFormatPr defaultColWidth="8.85546875" defaultRowHeight="15.75" x14ac:dyDescent="0.25"/>
  <cols>
    <col min="1" max="1" width="13.7109375" style="2" bestFit="1" customWidth="1"/>
    <col min="2" max="2" width="15.7109375" style="2" customWidth="1"/>
    <col min="3" max="3" width="12" style="2" bestFit="1" customWidth="1"/>
    <col min="4" max="4" width="14.85546875" style="2" bestFit="1" customWidth="1"/>
    <col min="5" max="5" width="16.5703125" style="7" bestFit="1" customWidth="1"/>
    <col min="6" max="6" width="13.28515625" style="2" customWidth="1"/>
    <col min="7" max="7" width="13.5703125" style="5" bestFit="1" customWidth="1"/>
    <col min="8" max="8" width="11.5703125" bestFit="1" customWidth="1"/>
    <col min="9" max="9" width="17.7109375" customWidth="1"/>
    <col min="10" max="10" width="12.7109375" bestFit="1" customWidth="1"/>
    <col min="11" max="11" width="14.28515625" bestFit="1" customWidth="1"/>
    <col min="13" max="13" width="12.7109375" bestFit="1" customWidth="1"/>
    <col min="14" max="14" width="9.28515625" bestFit="1" customWidth="1"/>
  </cols>
  <sheetData>
    <row r="2" spans="1:15" ht="18.75" x14ac:dyDescent="0.3">
      <c r="A2" s="1" t="s">
        <v>0</v>
      </c>
      <c r="D2" s="3" t="s">
        <v>1</v>
      </c>
      <c r="E2" s="4" t="s">
        <v>2</v>
      </c>
      <c r="F2" s="3"/>
      <c r="G2" s="5" t="s">
        <v>3</v>
      </c>
      <c r="I2" s="6" t="s">
        <v>4</v>
      </c>
    </row>
    <row r="3" spans="1:15" ht="18.75" x14ac:dyDescent="0.3">
      <c r="A3" s="47">
        <f>Февраль26!I3</f>
        <v>11281</v>
      </c>
      <c r="B3" s="7"/>
      <c r="C3" s="7"/>
      <c r="D3" s="4">
        <f>D45</f>
        <v>529374</v>
      </c>
      <c r="E3" s="4">
        <f>E45</f>
        <v>492107</v>
      </c>
      <c r="F3" s="4"/>
      <c r="G3" s="4">
        <f>G45</f>
        <v>30000</v>
      </c>
      <c r="I3" s="49">
        <f>I44</f>
        <v>18548</v>
      </c>
    </row>
    <row r="5" spans="1:15" x14ac:dyDescent="0.25">
      <c r="A5" s="2" t="s">
        <v>5</v>
      </c>
    </row>
    <row r="7" spans="1:15" ht="21" x14ac:dyDescent="0.35">
      <c r="A7" s="2">
        <v>2025</v>
      </c>
      <c r="B7" s="8" t="s">
        <v>40</v>
      </c>
    </row>
    <row r="8" spans="1:15" x14ac:dyDescent="0.25">
      <c r="A8" s="2" t="s">
        <v>6</v>
      </c>
      <c r="B8" s="9">
        <f>NETWORKDAYS(A14,A44,A22)</f>
        <v>21</v>
      </c>
    </row>
    <row r="10" spans="1:15" ht="18.75" x14ac:dyDescent="0.3">
      <c r="A10" s="10" t="s">
        <v>7</v>
      </c>
      <c r="B10" s="89" t="str">
        <f>Февраль26!B10</f>
        <v>Смола</v>
      </c>
      <c r="C10" s="90"/>
      <c r="D10" s="90"/>
    </row>
    <row r="12" spans="1:15" ht="47.25" x14ac:dyDescent="0.25">
      <c r="A12" s="11" t="s">
        <v>8</v>
      </c>
      <c r="B12" s="11" t="s">
        <v>1</v>
      </c>
      <c r="C12" s="11" t="s">
        <v>9</v>
      </c>
      <c r="D12" s="11" t="s">
        <v>10</v>
      </c>
      <c r="E12" s="12" t="s">
        <v>11</v>
      </c>
      <c r="F12" s="11" t="s">
        <v>12</v>
      </c>
      <c r="G12" s="11" t="s">
        <v>3</v>
      </c>
      <c r="H12" s="11" t="s">
        <v>13</v>
      </c>
      <c r="I12" s="11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16</v>
      </c>
      <c r="O12" s="13" t="s">
        <v>17</v>
      </c>
    </row>
    <row r="13" spans="1:15" x14ac:dyDescent="0.25">
      <c r="A13" s="11"/>
      <c r="B13" s="11"/>
      <c r="C13" s="11"/>
      <c r="D13" s="11"/>
      <c r="E13" s="12"/>
      <c r="F13" s="11"/>
      <c r="G13" s="11"/>
      <c r="H13" s="14"/>
      <c r="I13" s="57">
        <f>A3</f>
        <v>11281</v>
      </c>
      <c r="J13" s="15"/>
      <c r="K13" s="15"/>
      <c r="L13" s="15"/>
      <c r="M13" s="15"/>
      <c r="N13" s="15"/>
      <c r="O13" s="15"/>
    </row>
    <row r="14" spans="1:15" s="26" customFormat="1" x14ac:dyDescent="0.25">
      <c r="A14" s="16">
        <v>46082</v>
      </c>
      <c r="B14" s="17"/>
      <c r="C14" s="18"/>
      <c r="D14" s="19">
        <f t="shared" ref="D14:D44" si="0">B14-C14</f>
        <v>0</v>
      </c>
      <c r="E14" s="20"/>
      <c r="F14" s="21"/>
      <c r="G14" s="22"/>
      <c r="H14" s="23">
        <f t="shared" ref="H14:H44" si="1">D14-E14</f>
        <v>0</v>
      </c>
      <c r="I14" s="77">
        <f t="shared" ref="I14:I44" si="2">I13+H14-G14</f>
        <v>11281</v>
      </c>
      <c r="J14" s="24"/>
      <c r="K14" s="25"/>
      <c r="L14" s="25"/>
      <c r="M14" s="25"/>
      <c r="N14" s="25"/>
      <c r="O14" s="25"/>
    </row>
    <row r="15" spans="1:15" x14ac:dyDescent="0.25">
      <c r="A15" s="16">
        <v>46083</v>
      </c>
      <c r="B15" s="27">
        <v>26490</v>
      </c>
      <c r="C15" s="28"/>
      <c r="D15" s="19">
        <f t="shared" si="0"/>
        <v>26490</v>
      </c>
      <c r="E15" s="29">
        <v>24055</v>
      </c>
      <c r="F15" s="30">
        <v>96</v>
      </c>
      <c r="G15" s="31"/>
      <c r="H15" s="32">
        <f t="shared" si="1"/>
        <v>2435</v>
      </c>
      <c r="I15" s="67">
        <f t="shared" si="2"/>
        <v>13716</v>
      </c>
      <c r="J15" s="33" t="s">
        <v>38</v>
      </c>
      <c r="K15" s="34"/>
      <c r="L15" s="34"/>
      <c r="M15" s="35"/>
      <c r="N15" s="35"/>
      <c r="O15" s="35"/>
    </row>
    <row r="16" spans="1:15" x14ac:dyDescent="0.25">
      <c r="A16" s="16">
        <v>46084</v>
      </c>
      <c r="B16" s="27">
        <v>23190</v>
      </c>
      <c r="C16" s="28"/>
      <c r="D16" s="19">
        <f t="shared" si="0"/>
        <v>23190</v>
      </c>
      <c r="E16" s="29">
        <v>22728</v>
      </c>
      <c r="F16" s="30">
        <v>112</v>
      </c>
      <c r="G16" s="31">
        <v>10000</v>
      </c>
      <c r="H16" s="32">
        <f t="shared" si="1"/>
        <v>462</v>
      </c>
      <c r="I16" s="67">
        <f>I15+H16-G16</f>
        <v>4178</v>
      </c>
      <c r="J16" s="33" t="s">
        <v>38</v>
      </c>
      <c r="K16" s="34"/>
      <c r="L16" s="34"/>
      <c r="M16" s="35"/>
      <c r="N16" s="35"/>
      <c r="O16" s="35"/>
    </row>
    <row r="17" spans="1:15" x14ac:dyDescent="0.25">
      <c r="A17" s="16">
        <v>46085</v>
      </c>
      <c r="B17" s="27">
        <v>24653</v>
      </c>
      <c r="C17" s="28"/>
      <c r="D17" s="19">
        <f t="shared" si="0"/>
        <v>24653</v>
      </c>
      <c r="E17" s="29">
        <v>23861</v>
      </c>
      <c r="F17" s="30">
        <v>118</v>
      </c>
      <c r="G17" s="31"/>
      <c r="H17" s="32">
        <f t="shared" si="1"/>
        <v>792</v>
      </c>
      <c r="I17" s="67">
        <f t="shared" si="2"/>
        <v>4970</v>
      </c>
      <c r="J17" s="33" t="s">
        <v>38</v>
      </c>
      <c r="K17" s="34"/>
      <c r="L17" s="34"/>
      <c r="M17" s="35"/>
      <c r="N17" s="35"/>
      <c r="O17" s="35"/>
    </row>
    <row r="18" spans="1:15" x14ac:dyDescent="0.25">
      <c r="A18" s="16">
        <v>46086</v>
      </c>
      <c r="B18" s="27">
        <v>24555</v>
      </c>
      <c r="C18" s="28"/>
      <c r="D18" s="19">
        <f t="shared" si="0"/>
        <v>24555</v>
      </c>
      <c r="E18" s="29">
        <v>23388</v>
      </c>
      <c r="F18" s="30">
        <v>116</v>
      </c>
      <c r="G18" s="31"/>
      <c r="H18" s="32">
        <f t="shared" si="1"/>
        <v>1167</v>
      </c>
      <c r="I18" s="67">
        <f t="shared" si="2"/>
        <v>6137</v>
      </c>
      <c r="J18" s="33" t="s">
        <v>38</v>
      </c>
      <c r="K18" s="34"/>
      <c r="L18" s="34"/>
      <c r="M18" s="35"/>
      <c r="N18" s="35"/>
      <c r="O18" s="35"/>
    </row>
    <row r="19" spans="1:15" x14ac:dyDescent="0.25">
      <c r="A19" s="16">
        <v>46087</v>
      </c>
      <c r="B19" s="27">
        <v>22467</v>
      </c>
      <c r="C19" s="28"/>
      <c r="D19" s="19">
        <f t="shared" si="0"/>
        <v>22467</v>
      </c>
      <c r="E19" s="29">
        <v>20792</v>
      </c>
      <c r="F19" s="30">
        <v>88</v>
      </c>
      <c r="G19" s="31"/>
      <c r="H19" s="32">
        <f t="shared" si="1"/>
        <v>1675</v>
      </c>
      <c r="I19" s="67">
        <f t="shared" si="2"/>
        <v>7812</v>
      </c>
      <c r="J19" s="33" t="s">
        <v>38</v>
      </c>
      <c r="K19" s="34"/>
      <c r="L19" s="34"/>
      <c r="M19" s="35"/>
      <c r="N19" s="35"/>
      <c r="O19" s="35"/>
    </row>
    <row r="20" spans="1:15" s="26" customFormat="1" x14ac:dyDescent="0.25">
      <c r="A20" s="16">
        <v>46088</v>
      </c>
      <c r="B20" s="17"/>
      <c r="C20" s="18"/>
      <c r="D20" s="19">
        <f t="shared" si="0"/>
        <v>0</v>
      </c>
      <c r="E20" s="20"/>
      <c r="F20" s="21"/>
      <c r="G20" s="22"/>
      <c r="H20" s="23">
        <f t="shared" si="1"/>
        <v>0</v>
      </c>
      <c r="I20" s="77">
        <f t="shared" si="2"/>
        <v>7812</v>
      </c>
      <c r="J20" s="24"/>
      <c r="K20" s="25"/>
      <c r="L20" s="25"/>
      <c r="M20" s="25"/>
      <c r="N20" s="25"/>
      <c r="O20" s="25"/>
    </row>
    <row r="21" spans="1:15" s="26" customFormat="1" x14ac:dyDescent="0.25">
      <c r="A21" s="16">
        <v>46089</v>
      </c>
      <c r="B21" s="17"/>
      <c r="C21" s="18"/>
      <c r="D21" s="19">
        <f t="shared" si="0"/>
        <v>0</v>
      </c>
      <c r="E21" s="20"/>
      <c r="F21" s="21"/>
      <c r="G21" s="22"/>
      <c r="H21" s="23">
        <f t="shared" si="1"/>
        <v>0</v>
      </c>
      <c r="I21" s="77">
        <f t="shared" si="2"/>
        <v>7812</v>
      </c>
      <c r="J21" s="24"/>
      <c r="K21" s="25"/>
      <c r="L21" s="25"/>
      <c r="M21" s="25"/>
      <c r="N21" s="25"/>
      <c r="O21" s="25"/>
    </row>
    <row r="22" spans="1:15" s="26" customFormat="1" x14ac:dyDescent="0.25">
      <c r="A22" s="16">
        <v>46090</v>
      </c>
      <c r="B22" s="17"/>
      <c r="C22" s="18"/>
      <c r="D22" s="19">
        <f t="shared" si="0"/>
        <v>0</v>
      </c>
      <c r="E22" s="20"/>
      <c r="F22" s="21"/>
      <c r="G22" s="22"/>
      <c r="H22" s="23">
        <f t="shared" si="1"/>
        <v>0</v>
      </c>
      <c r="I22" s="77">
        <f t="shared" si="2"/>
        <v>7812</v>
      </c>
      <c r="J22" s="24"/>
      <c r="K22" s="25"/>
      <c r="L22" s="25"/>
      <c r="M22" s="25"/>
      <c r="N22" s="25"/>
      <c r="O22" s="25"/>
    </row>
    <row r="23" spans="1:15" x14ac:dyDescent="0.25">
      <c r="A23" s="16">
        <v>46091</v>
      </c>
      <c r="B23" s="27">
        <v>26312</v>
      </c>
      <c r="C23" s="28"/>
      <c r="D23" s="19">
        <f t="shared" si="0"/>
        <v>26312</v>
      </c>
      <c r="E23" s="29">
        <v>23573</v>
      </c>
      <c r="F23" s="30">
        <v>113</v>
      </c>
      <c r="G23" s="31"/>
      <c r="H23" s="32">
        <f t="shared" si="1"/>
        <v>2739</v>
      </c>
      <c r="I23" s="67">
        <f t="shared" si="2"/>
        <v>10551</v>
      </c>
      <c r="J23" s="33" t="s">
        <v>38</v>
      </c>
      <c r="K23" s="34"/>
      <c r="L23" s="34"/>
      <c r="M23" s="35"/>
      <c r="N23" s="35"/>
      <c r="O23" s="35"/>
    </row>
    <row r="24" spans="1:15" x14ac:dyDescent="0.25">
      <c r="A24" s="16">
        <v>46092</v>
      </c>
      <c r="B24" s="27">
        <v>25087</v>
      </c>
      <c r="C24" s="28"/>
      <c r="D24" s="19">
        <f t="shared" si="0"/>
        <v>25087</v>
      </c>
      <c r="E24" s="29">
        <v>24578</v>
      </c>
      <c r="F24" s="30">
        <v>124</v>
      </c>
      <c r="G24" s="31"/>
      <c r="H24" s="32">
        <f t="shared" si="1"/>
        <v>509</v>
      </c>
      <c r="I24" s="67">
        <f t="shared" si="2"/>
        <v>11060</v>
      </c>
      <c r="J24" s="33" t="s">
        <v>38</v>
      </c>
      <c r="K24" s="34"/>
      <c r="L24" s="34"/>
      <c r="M24" s="35"/>
      <c r="N24" s="35"/>
      <c r="O24" s="35"/>
    </row>
    <row r="25" spans="1:15" x14ac:dyDescent="0.25">
      <c r="A25" s="16">
        <v>46093</v>
      </c>
      <c r="B25" s="27">
        <v>25283</v>
      </c>
      <c r="C25" s="28"/>
      <c r="D25" s="19">
        <f t="shared" si="0"/>
        <v>25283</v>
      </c>
      <c r="E25" s="29">
        <v>23266</v>
      </c>
      <c r="F25" s="30">
        <v>117</v>
      </c>
      <c r="G25" s="31"/>
      <c r="H25" s="32">
        <f t="shared" si="1"/>
        <v>2017</v>
      </c>
      <c r="I25" s="67">
        <f t="shared" si="2"/>
        <v>13077</v>
      </c>
      <c r="J25" s="33" t="s">
        <v>38</v>
      </c>
      <c r="K25" s="34"/>
      <c r="L25" s="34"/>
      <c r="M25" s="35"/>
      <c r="N25" s="35"/>
      <c r="O25" s="35"/>
    </row>
    <row r="26" spans="1:15" x14ac:dyDescent="0.25">
      <c r="A26" s="16">
        <v>46094</v>
      </c>
      <c r="B26" s="27">
        <v>23928</v>
      </c>
      <c r="C26" s="28"/>
      <c r="D26" s="19">
        <f t="shared" si="0"/>
        <v>23928</v>
      </c>
      <c r="E26" s="29">
        <v>23140</v>
      </c>
      <c r="F26" s="30">
        <v>111</v>
      </c>
      <c r="G26" s="31"/>
      <c r="H26" s="32">
        <f t="shared" si="1"/>
        <v>788</v>
      </c>
      <c r="I26" s="67">
        <f t="shared" si="2"/>
        <v>13865</v>
      </c>
      <c r="J26" s="33" t="s">
        <v>38</v>
      </c>
      <c r="K26" s="34"/>
      <c r="L26" s="34"/>
      <c r="M26" s="35"/>
      <c r="N26" s="35"/>
      <c r="O26" s="35"/>
    </row>
    <row r="27" spans="1:15" s="26" customFormat="1" x14ac:dyDescent="0.25">
      <c r="A27" s="16">
        <v>46095</v>
      </c>
      <c r="B27" s="17"/>
      <c r="C27" s="18"/>
      <c r="D27" s="19">
        <f t="shared" si="0"/>
        <v>0</v>
      </c>
      <c r="E27" s="20"/>
      <c r="F27" s="21"/>
      <c r="G27" s="22"/>
      <c r="H27" s="23">
        <f t="shared" si="1"/>
        <v>0</v>
      </c>
      <c r="I27" s="77">
        <f t="shared" si="2"/>
        <v>13865</v>
      </c>
      <c r="J27" s="24"/>
      <c r="K27" s="25"/>
      <c r="L27" s="25"/>
      <c r="M27" s="25"/>
      <c r="N27" s="25"/>
      <c r="O27" s="25"/>
    </row>
    <row r="28" spans="1:15" s="26" customFormat="1" x14ac:dyDescent="0.25">
      <c r="A28" s="16">
        <v>46096</v>
      </c>
      <c r="B28" s="17"/>
      <c r="C28" s="18"/>
      <c r="D28" s="19">
        <f t="shared" si="0"/>
        <v>0</v>
      </c>
      <c r="E28" s="20"/>
      <c r="F28" s="21"/>
      <c r="G28" s="22"/>
      <c r="H28" s="23">
        <f t="shared" si="1"/>
        <v>0</v>
      </c>
      <c r="I28" s="77">
        <f t="shared" si="2"/>
        <v>13865</v>
      </c>
      <c r="J28" s="24"/>
      <c r="K28" s="25"/>
      <c r="L28" s="25"/>
      <c r="M28" s="25"/>
      <c r="N28" s="25"/>
      <c r="O28" s="25"/>
    </row>
    <row r="29" spans="1:15" x14ac:dyDescent="0.25">
      <c r="A29" s="16">
        <v>46097</v>
      </c>
      <c r="B29" s="27">
        <v>24762</v>
      </c>
      <c r="C29" s="28"/>
      <c r="D29" s="19">
        <f t="shared" si="0"/>
        <v>24762</v>
      </c>
      <c r="E29" s="29">
        <v>23160</v>
      </c>
      <c r="F29" s="30">
        <v>131</v>
      </c>
      <c r="G29" s="31"/>
      <c r="H29" s="32">
        <f t="shared" si="1"/>
        <v>1602</v>
      </c>
      <c r="I29" s="67">
        <f t="shared" si="2"/>
        <v>15467</v>
      </c>
      <c r="J29" s="33" t="s">
        <v>38</v>
      </c>
      <c r="K29" s="34"/>
      <c r="L29" s="34"/>
      <c r="M29" s="35"/>
      <c r="N29" s="35"/>
      <c r="O29" s="35"/>
    </row>
    <row r="30" spans="1:15" x14ac:dyDescent="0.25">
      <c r="A30" s="16">
        <v>46098</v>
      </c>
      <c r="B30" s="27">
        <v>25931</v>
      </c>
      <c r="C30" s="28"/>
      <c r="D30" s="19">
        <f t="shared" si="0"/>
        <v>25931</v>
      </c>
      <c r="E30" s="29">
        <v>25363</v>
      </c>
      <c r="F30" s="30">
        <v>118</v>
      </c>
      <c r="G30" s="31"/>
      <c r="H30" s="32">
        <f t="shared" si="1"/>
        <v>568</v>
      </c>
      <c r="I30" s="67">
        <f t="shared" si="2"/>
        <v>16035</v>
      </c>
      <c r="J30" s="33" t="s">
        <v>38</v>
      </c>
      <c r="K30" s="34"/>
      <c r="L30" s="34"/>
      <c r="M30" s="35"/>
      <c r="N30" s="35"/>
      <c r="O30" s="35"/>
    </row>
    <row r="31" spans="1:15" x14ac:dyDescent="0.25">
      <c r="A31" s="16">
        <v>46099</v>
      </c>
      <c r="B31" s="27">
        <v>29036</v>
      </c>
      <c r="C31" s="28"/>
      <c r="D31" s="19">
        <f t="shared" si="0"/>
        <v>29036</v>
      </c>
      <c r="E31" s="29">
        <v>26096</v>
      </c>
      <c r="F31" s="30">
        <v>126</v>
      </c>
      <c r="G31" s="31"/>
      <c r="H31" s="32">
        <f t="shared" si="1"/>
        <v>2940</v>
      </c>
      <c r="I31" s="67">
        <f t="shared" si="2"/>
        <v>18975</v>
      </c>
      <c r="J31" s="33" t="s">
        <v>38</v>
      </c>
      <c r="K31" s="34"/>
      <c r="L31" s="34"/>
      <c r="M31" s="35"/>
      <c r="N31" s="35"/>
      <c r="O31" s="35"/>
    </row>
    <row r="32" spans="1:15" x14ac:dyDescent="0.25">
      <c r="A32" s="16">
        <v>46100</v>
      </c>
      <c r="B32" s="27">
        <v>26584</v>
      </c>
      <c r="C32" s="28"/>
      <c r="D32" s="19">
        <f t="shared" si="0"/>
        <v>26584</v>
      </c>
      <c r="E32" s="29">
        <v>23034</v>
      </c>
      <c r="F32" s="30">
        <v>114</v>
      </c>
      <c r="G32" s="31">
        <v>20000</v>
      </c>
      <c r="H32" s="32">
        <f t="shared" si="1"/>
        <v>3550</v>
      </c>
      <c r="I32" s="67">
        <f t="shared" si="2"/>
        <v>2525</v>
      </c>
      <c r="J32" s="33" t="s">
        <v>38</v>
      </c>
      <c r="K32" s="34"/>
      <c r="L32" s="34"/>
      <c r="M32" s="35"/>
      <c r="N32" s="35"/>
      <c r="O32" s="35"/>
    </row>
    <row r="33" spans="1:15" x14ac:dyDescent="0.25">
      <c r="A33" s="16">
        <v>46101</v>
      </c>
      <c r="B33" s="27">
        <v>26642</v>
      </c>
      <c r="C33" s="28"/>
      <c r="D33" s="19">
        <f t="shared" si="0"/>
        <v>26642</v>
      </c>
      <c r="E33" s="29">
        <v>22418</v>
      </c>
      <c r="F33" s="30">
        <v>127</v>
      </c>
      <c r="G33" s="31"/>
      <c r="H33" s="32">
        <f t="shared" si="1"/>
        <v>4224</v>
      </c>
      <c r="I33" s="67">
        <f t="shared" si="2"/>
        <v>6749</v>
      </c>
      <c r="J33" s="33" t="s">
        <v>38</v>
      </c>
      <c r="K33" s="34"/>
      <c r="L33" s="34"/>
      <c r="M33" s="35"/>
      <c r="N33" s="35"/>
      <c r="O33" s="35"/>
    </row>
    <row r="34" spans="1:15" s="26" customFormat="1" x14ac:dyDescent="0.25">
      <c r="A34" s="16">
        <v>46102</v>
      </c>
      <c r="B34" s="17"/>
      <c r="C34" s="18"/>
      <c r="D34" s="19">
        <f t="shared" si="0"/>
        <v>0</v>
      </c>
      <c r="E34" s="20"/>
      <c r="F34" s="21"/>
      <c r="G34" s="22"/>
      <c r="H34" s="23">
        <f t="shared" si="1"/>
        <v>0</v>
      </c>
      <c r="I34" s="77">
        <f t="shared" si="2"/>
        <v>6749</v>
      </c>
      <c r="J34" s="24"/>
      <c r="K34" s="25"/>
      <c r="L34" s="25"/>
      <c r="M34" s="25"/>
      <c r="N34" s="25"/>
      <c r="O34" s="25"/>
    </row>
    <row r="35" spans="1:15" s="26" customFormat="1" x14ac:dyDescent="0.25">
      <c r="A35" s="16">
        <v>46103</v>
      </c>
      <c r="B35" s="17"/>
      <c r="C35" s="18"/>
      <c r="D35" s="19">
        <f t="shared" si="0"/>
        <v>0</v>
      </c>
      <c r="E35" s="20"/>
      <c r="F35" s="21"/>
      <c r="G35" s="22"/>
      <c r="H35" s="23">
        <f t="shared" si="1"/>
        <v>0</v>
      </c>
      <c r="I35" s="77">
        <f t="shared" si="2"/>
        <v>6749</v>
      </c>
      <c r="J35" s="24"/>
      <c r="K35" s="25"/>
      <c r="L35" s="25"/>
      <c r="M35" s="25"/>
      <c r="N35" s="25"/>
      <c r="O35" s="25"/>
    </row>
    <row r="36" spans="1:15" x14ac:dyDescent="0.25">
      <c r="A36" s="16">
        <v>46104</v>
      </c>
      <c r="B36" s="27">
        <v>35997</v>
      </c>
      <c r="C36" s="28"/>
      <c r="D36" s="19">
        <f t="shared" si="0"/>
        <v>35997</v>
      </c>
      <c r="E36" s="29">
        <v>34772</v>
      </c>
      <c r="F36" s="30">
        <v>143</v>
      </c>
      <c r="G36" s="31"/>
      <c r="H36" s="32">
        <f t="shared" si="1"/>
        <v>1225</v>
      </c>
      <c r="I36" s="67">
        <f t="shared" si="2"/>
        <v>7974</v>
      </c>
      <c r="J36" s="33" t="s">
        <v>38</v>
      </c>
      <c r="K36" s="34"/>
      <c r="L36" s="34"/>
      <c r="M36" s="35"/>
      <c r="N36" s="35"/>
      <c r="O36" s="35"/>
    </row>
    <row r="37" spans="1:15" x14ac:dyDescent="0.25">
      <c r="A37" s="16">
        <v>46105</v>
      </c>
      <c r="B37" s="27">
        <v>22036</v>
      </c>
      <c r="C37" s="28"/>
      <c r="D37" s="19">
        <f t="shared" si="0"/>
        <v>22036</v>
      </c>
      <c r="E37" s="29">
        <v>20849</v>
      </c>
      <c r="F37" s="30">
        <v>108</v>
      </c>
      <c r="G37" s="31"/>
      <c r="H37" s="32">
        <f t="shared" si="1"/>
        <v>1187</v>
      </c>
      <c r="I37" s="67">
        <f t="shared" si="2"/>
        <v>9161</v>
      </c>
      <c r="J37" s="33" t="s">
        <v>38</v>
      </c>
      <c r="K37" s="34"/>
      <c r="L37" s="34"/>
      <c r="M37" s="35"/>
      <c r="N37" s="35"/>
      <c r="O37" s="35"/>
    </row>
    <row r="38" spans="1:15" x14ac:dyDescent="0.25">
      <c r="A38" s="16">
        <v>46106</v>
      </c>
      <c r="B38" s="27">
        <v>22410</v>
      </c>
      <c r="C38" s="28"/>
      <c r="D38" s="19">
        <f t="shared" si="0"/>
        <v>22410</v>
      </c>
      <c r="E38" s="29">
        <v>20910</v>
      </c>
      <c r="F38" s="30">
        <v>110</v>
      </c>
      <c r="G38" s="31"/>
      <c r="H38" s="32">
        <f t="shared" si="1"/>
        <v>1500</v>
      </c>
      <c r="I38" s="67">
        <f t="shared" si="2"/>
        <v>10661</v>
      </c>
      <c r="J38" s="33" t="s">
        <v>38</v>
      </c>
      <c r="K38" s="34"/>
      <c r="L38" s="34"/>
      <c r="M38" s="35"/>
      <c r="N38" s="35"/>
      <c r="O38" s="35"/>
    </row>
    <row r="39" spans="1:15" x14ac:dyDescent="0.25">
      <c r="A39" s="16">
        <v>46107</v>
      </c>
      <c r="B39" s="27">
        <v>25610</v>
      </c>
      <c r="C39" s="28"/>
      <c r="D39" s="19">
        <f t="shared" si="0"/>
        <v>25610</v>
      </c>
      <c r="E39" s="29">
        <v>24270</v>
      </c>
      <c r="F39" s="30">
        <v>122</v>
      </c>
      <c r="G39" s="31"/>
      <c r="H39" s="32">
        <f t="shared" si="1"/>
        <v>1340</v>
      </c>
      <c r="I39" s="67">
        <f t="shared" si="2"/>
        <v>12001</v>
      </c>
      <c r="J39" s="33" t="s">
        <v>38</v>
      </c>
      <c r="K39" s="34"/>
      <c r="L39" s="34"/>
      <c r="M39" s="35"/>
      <c r="N39" s="35"/>
      <c r="O39" s="35"/>
    </row>
    <row r="40" spans="1:15" x14ac:dyDescent="0.25">
      <c r="A40" s="16">
        <v>46108</v>
      </c>
      <c r="B40" s="27">
        <v>23187</v>
      </c>
      <c r="C40" s="28"/>
      <c r="D40" s="19">
        <f t="shared" si="0"/>
        <v>23187</v>
      </c>
      <c r="E40" s="29">
        <v>19505</v>
      </c>
      <c r="F40" s="30">
        <v>104</v>
      </c>
      <c r="G40" s="31"/>
      <c r="H40" s="32">
        <f t="shared" si="1"/>
        <v>3682</v>
      </c>
      <c r="I40" s="67">
        <f t="shared" si="2"/>
        <v>15683</v>
      </c>
      <c r="J40" s="33" t="s">
        <v>38</v>
      </c>
      <c r="K40" s="34"/>
      <c r="L40" s="34"/>
      <c r="M40" s="35"/>
      <c r="N40" s="35"/>
      <c r="O40" s="35"/>
    </row>
    <row r="41" spans="1:15" s="26" customFormat="1" x14ac:dyDescent="0.25">
      <c r="A41" s="16">
        <v>46109</v>
      </c>
      <c r="B41" s="17"/>
      <c r="C41" s="18"/>
      <c r="D41" s="19">
        <f t="shared" si="0"/>
        <v>0</v>
      </c>
      <c r="E41" s="20"/>
      <c r="F41" s="21"/>
      <c r="G41" s="22"/>
      <c r="H41" s="23">
        <f t="shared" si="1"/>
        <v>0</v>
      </c>
      <c r="I41" s="77">
        <f t="shared" si="2"/>
        <v>15683</v>
      </c>
      <c r="J41" s="24"/>
      <c r="K41" s="25"/>
      <c r="L41" s="25"/>
      <c r="M41" s="25"/>
      <c r="N41" s="25"/>
      <c r="O41" s="25"/>
    </row>
    <row r="42" spans="1:15" s="26" customFormat="1" x14ac:dyDescent="0.25">
      <c r="A42" s="16">
        <v>46110</v>
      </c>
      <c r="B42" s="17"/>
      <c r="C42" s="18"/>
      <c r="D42" s="19">
        <f t="shared" si="0"/>
        <v>0</v>
      </c>
      <c r="E42" s="20"/>
      <c r="F42" s="21"/>
      <c r="G42" s="22"/>
      <c r="H42" s="23">
        <f t="shared" si="1"/>
        <v>0</v>
      </c>
      <c r="I42" s="77">
        <f t="shared" si="2"/>
        <v>15683</v>
      </c>
      <c r="J42" s="24"/>
      <c r="K42" s="25"/>
      <c r="L42" s="25"/>
      <c r="M42" s="25"/>
      <c r="N42" s="25"/>
      <c r="O42" s="25"/>
    </row>
    <row r="43" spans="1:15" x14ac:dyDescent="0.25">
      <c r="A43" s="16">
        <v>46111</v>
      </c>
      <c r="B43" s="27">
        <v>23833</v>
      </c>
      <c r="C43" s="28"/>
      <c r="D43" s="19">
        <f t="shared" si="0"/>
        <v>23833</v>
      </c>
      <c r="E43" s="29">
        <v>22833</v>
      </c>
      <c r="F43" s="30">
        <v>132</v>
      </c>
      <c r="G43" s="31"/>
      <c r="H43" s="32">
        <f t="shared" si="1"/>
        <v>1000</v>
      </c>
      <c r="I43" s="67">
        <f t="shared" si="2"/>
        <v>16683</v>
      </c>
      <c r="J43" s="33" t="s">
        <v>33</v>
      </c>
      <c r="K43" s="34"/>
      <c r="L43" s="34"/>
      <c r="M43" s="35"/>
      <c r="N43" s="35"/>
      <c r="O43" s="35"/>
    </row>
    <row r="44" spans="1:15" x14ac:dyDescent="0.25">
      <c r="A44" s="16">
        <v>46112</v>
      </c>
      <c r="B44" s="27">
        <v>21381</v>
      </c>
      <c r="C44" s="28"/>
      <c r="D44" s="19">
        <f t="shared" si="0"/>
        <v>21381</v>
      </c>
      <c r="E44" s="29">
        <v>19516</v>
      </c>
      <c r="F44" s="30">
        <v>108</v>
      </c>
      <c r="G44" s="31"/>
      <c r="H44" s="32">
        <f t="shared" si="1"/>
        <v>1865</v>
      </c>
      <c r="I44" s="67">
        <f t="shared" si="2"/>
        <v>18548</v>
      </c>
      <c r="J44" s="33" t="s">
        <v>33</v>
      </c>
      <c r="K44" s="34"/>
      <c r="L44" s="34"/>
      <c r="M44" s="35"/>
      <c r="N44" s="35"/>
      <c r="O44" s="35"/>
    </row>
    <row r="45" spans="1:15" ht="18.75" x14ac:dyDescent="0.3">
      <c r="A45" s="27"/>
      <c r="B45" s="36">
        <f t="shared" ref="B45:G45" si="3">SUM(B14:B44)</f>
        <v>529374</v>
      </c>
      <c r="C45" s="36">
        <f t="shared" si="3"/>
        <v>0</v>
      </c>
      <c r="D45" s="36">
        <f t="shared" si="3"/>
        <v>529374</v>
      </c>
      <c r="E45" s="36">
        <f t="shared" si="3"/>
        <v>492107</v>
      </c>
      <c r="F45" s="36">
        <f t="shared" si="3"/>
        <v>2438</v>
      </c>
      <c r="G45" s="36">
        <f t="shared" si="3"/>
        <v>30000</v>
      </c>
      <c r="H45" s="37"/>
      <c r="I45" s="83"/>
      <c r="J45" s="35"/>
      <c r="K45" s="35"/>
      <c r="L45" s="35"/>
      <c r="M45" s="35"/>
      <c r="N45" s="35"/>
      <c r="O45" s="35"/>
    </row>
    <row r="47" spans="1:15" x14ac:dyDescent="0.25">
      <c r="C47" s="38" t="s">
        <v>19</v>
      </c>
      <c r="D47" s="9">
        <f>B8</f>
        <v>21</v>
      </c>
    </row>
    <row r="48" spans="1:15" x14ac:dyDescent="0.25">
      <c r="C48" s="38" t="s">
        <v>20</v>
      </c>
      <c r="D48" s="39">
        <f>D45/D47</f>
        <v>25208.285714285714</v>
      </c>
    </row>
    <row r="49" spans="1:10" s="7" customFormat="1" x14ac:dyDescent="0.25">
      <c r="A49" s="2"/>
      <c r="B49" s="2"/>
      <c r="C49" s="38" t="s">
        <v>21</v>
      </c>
      <c r="D49" s="39">
        <f>B45/F45</f>
        <v>217.13453650533225</v>
      </c>
      <c r="F49" s="2"/>
      <c r="G49" s="5"/>
      <c r="H49"/>
      <c r="I49"/>
      <c r="J49"/>
    </row>
  </sheetData>
  <sheetProtection algorithmName="SHA-512" hashValue="jlowKGrL/d3lJIzMXtNbDwhQ1hYaQses8qpuyHsOgo+dIbqTTpBg+Tt7EQzy3xqReLHxrwk+T2RNuyXiiGyQPw==" saltValue="WMGXVmQuManXdeADmL2svQ==" spinCount="100000" sheet="1" objects="1" scenarios="1"/>
  <protectedRanges>
    <protectedRange sqref="J14:O44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Сентябрь25</vt:lpstr>
      <vt:lpstr>Октябрь25</vt:lpstr>
      <vt:lpstr>Ноябрь25</vt:lpstr>
      <vt:lpstr>Декабрь25</vt:lpstr>
      <vt:lpstr>Январь26</vt:lpstr>
      <vt:lpstr>Февраль26</vt:lpstr>
      <vt:lpstr>Март26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iipohbka@mail.ru</dc:creator>
  <cp:lastModifiedBy>Пользователь Windows</cp:lastModifiedBy>
  <dcterms:created xsi:type="dcterms:W3CDTF">2025-01-15T16:03:40Z</dcterms:created>
  <dcterms:modified xsi:type="dcterms:W3CDTF">2026-03-31T14:39:56Z</dcterms:modified>
</cp:coreProperties>
</file>